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haffer\Downloads\"/>
    </mc:Choice>
  </mc:AlternateContent>
  <xr:revisionPtr revIDLastSave="0" documentId="13_ncr:1_{42224066-1BEE-44ED-8E9C-64109EE2C765}" xr6:coauthVersionLast="47" xr6:coauthVersionMax="47" xr10:uidLastSave="{00000000-0000-0000-0000-000000000000}"/>
  <bookViews>
    <workbookView xWindow="25695" yWindow="0" windowWidth="26010" windowHeight="20985" xr2:uid="{1552DCEB-DB3D-42E6-A6EA-589557DDA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H20" i="1"/>
  <c r="H24" i="1"/>
  <c r="H23" i="1"/>
  <c r="H22" i="1"/>
  <c r="E26" i="1"/>
  <c r="E25" i="1"/>
  <c r="E24" i="1"/>
  <c r="E22" i="1"/>
  <c r="E21" i="1"/>
  <c r="E20" i="1"/>
  <c r="E18" i="1"/>
  <c r="E17" i="1"/>
  <c r="E16" i="1"/>
  <c r="B18" i="1"/>
  <c r="B17" i="1"/>
  <c r="B16" i="1"/>
</calcChain>
</file>

<file path=xl/sharedStrings.xml><?xml version="1.0" encoding="utf-8"?>
<sst xmlns="http://schemas.openxmlformats.org/spreadsheetml/2006/main" count="87" uniqueCount="45">
  <si>
    <t>Name</t>
  </si>
  <si>
    <t>HP</t>
  </si>
  <si>
    <t>Attack</t>
  </si>
  <si>
    <t>Defense</t>
  </si>
  <si>
    <t>Type</t>
  </si>
  <si>
    <t>Vigoroth</t>
  </si>
  <si>
    <t>Mid</t>
  </si>
  <si>
    <t>High</t>
  </si>
  <si>
    <t>Normal</t>
  </si>
  <si>
    <t>Dodrio</t>
  </si>
  <si>
    <t>Farfetch'd</t>
  </si>
  <si>
    <t>Low</t>
  </si>
  <si>
    <t>Lillipup</t>
  </si>
  <si>
    <t>Jellicent</t>
  </si>
  <si>
    <t>Water</t>
  </si>
  <si>
    <t>Corsola</t>
  </si>
  <si>
    <t>Piplup</t>
  </si>
  <si>
    <t>Marill</t>
  </si>
  <si>
    <t>Landorus Therian Forme</t>
  </si>
  <si>
    <t>Flying</t>
  </si>
  <si>
    <t>Beautifly</t>
  </si>
  <si>
    <t>Tropius</t>
  </si>
  <si>
    <t>Drifblim</t>
  </si>
  <si>
    <t>p(Normal)</t>
  </si>
  <si>
    <t>p(Water)</t>
  </si>
  <si>
    <t>p(Flying)</t>
  </si>
  <si>
    <t>Question 1</t>
  </si>
  <si>
    <t>p(HP=Mid|Type=Normal)</t>
  </si>
  <si>
    <t>p(Attack=High|Type=Normal)</t>
  </si>
  <si>
    <t>p(Defense=Mid|Type=Normal)</t>
  </si>
  <si>
    <t>p(HP=Mid|Type=Water)</t>
  </si>
  <si>
    <t>p(HP=Mid|Type=Flying)</t>
  </si>
  <si>
    <t>p(Attack=High|Type=Water)</t>
  </si>
  <si>
    <t>p(Attack=High|Type=Flying)</t>
  </si>
  <si>
    <t>p(Defense=Mid|Type=Water)</t>
  </si>
  <si>
    <t>p(Defense=Mid|Type=Flying)</t>
  </si>
  <si>
    <t>Question 2</t>
  </si>
  <si>
    <t>p(Type=Normal|Features)</t>
  </si>
  <si>
    <t>p(Type=Water|Features)</t>
  </si>
  <si>
    <t>p(Type=Flying|Features)</t>
  </si>
  <si>
    <t>p(Features)</t>
  </si>
  <si>
    <t>p(Features|Type=Normal)</t>
  </si>
  <si>
    <t>p(Features|Type=Water)</t>
  </si>
  <si>
    <t>p(Features|Type=Flying)</t>
  </si>
  <si>
    <t>Question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</si>
</sst>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0" fillId="0" borderId="2" xfId="0" applyBorder="1"/>
    <xf numFmtId="0" fontId="2" fillId="0" borderId="2" xfId="0" applyFont="1" applyBorder="1"/>
    <xf numFmtId="0" fontId="1" fillId="0" borderId="1" xfId="1" applyAlignment="1">
      <alignment horizontal="center"/>
    </xf>
    <xf numFmtId="0" fontId="0" fillId="0" borderId="0" xfId="0" applyBorder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FFFB-3E16-4C62-9B4D-DE160632C917}">
  <dimension ref="A1:H26"/>
  <sheetViews>
    <sheetView tabSelected="1" workbookViewId="0">
      <selection activeCell="G12" sqref="G12"/>
    </sheetView>
  </sheetViews>
  <sheetFormatPr defaultRowHeight="15" x14ac:dyDescent="0.25"/>
  <cols>
    <col min="1" max="1" width="22.85546875" bestFit="1" customWidth="1"/>
    <col min="2" max="2" width="12" bestFit="1" customWidth="1"/>
    <col min="3" max="3" width="6.5703125" bestFit="1" customWidth="1"/>
    <col min="4" max="4" width="28.140625" bestFit="1" customWidth="1"/>
    <col min="5" max="5" width="7.7109375" bestFit="1" customWidth="1"/>
    <col min="7" max="7" width="24.28515625" bestFit="1" customWidth="1"/>
    <col min="8" max="8" width="12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 x14ac:dyDescent="0.25">
      <c r="A2" s="1" t="s">
        <v>5</v>
      </c>
      <c r="B2" s="1" t="s">
        <v>6</v>
      </c>
      <c r="C2" s="1" t="s">
        <v>7</v>
      </c>
      <c r="D2" s="1" t="s">
        <v>6</v>
      </c>
      <c r="E2" s="1" t="s">
        <v>8</v>
      </c>
    </row>
    <row r="3" spans="1:8" x14ac:dyDescent="0.25">
      <c r="A3" s="1" t="s">
        <v>9</v>
      </c>
      <c r="B3" s="1" t="s">
        <v>7</v>
      </c>
      <c r="C3" s="1" t="s">
        <v>6</v>
      </c>
      <c r="D3" s="1" t="s">
        <v>7</v>
      </c>
      <c r="E3" s="1" t="s">
        <v>8</v>
      </c>
    </row>
    <row r="4" spans="1:8" x14ac:dyDescent="0.25">
      <c r="A4" s="1" t="s">
        <v>10</v>
      </c>
      <c r="B4" s="1" t="s">
        <v>11</v>
      </c>
      <c r="C4" s="1" t="s">
        <v>7</v>
      </c>
      <c r="D4" s="1" t="s">
        <v>11</v>
      </c>
      <c r="E4" s="1" t="s">
        <v>8</v>
      </c>
    </row>
    <row r="5" spans="1:8" x14ac:dyDescent="0.25">
      <c r="A5" s="1" t="s">
        <v>12</v>
      </c>
      <c r="B5" s="1" t="s">
        <v>11</v>
      </c>
      <c r="C5" s="1" t="s">
        <v>11</v>
      </c>
      <c r="D5" s="1" t="s">
        <v>11</v>
      </c>
      <c r="E5" s="1" t="s">
        <v>8</v>
      </c>
    </row>
    <row r="6" spans="1:8" x14ac:dyDescent="0.25">
      <c r="A6" s="1" t="s">
        <v>13</v>
      </c>
      <c r="B6" s="1" t="s">
        <v>6</v>
      </c>
      <c r="C6" s="1" t="s">
        <v>11</v>
      </c>
      <c r="D6" s="1" t="s">
        <v>7</v>
      </c>
      <c r="E6" s="1" t="s">
        <v>14</v>
      </c>
    </row>
    <row r="7" spans="1:8" x14ac:dyDescent="0.25">
      <c r="A7" s="1" t="s">
        <v>15</v>
      </c>
      <c r="B7" s="1" t="s">
        <v>11</v>
      </c>
      <c r="C7" s="1" t="s">
        <v>11</v>
      </c>
      <c r="D7" s="1" t="s">
        <v>6</v>
      </c>
      <c r="E7" s="1" t="s">
        <v>14</v>
      </c>
    </row>
    <row r="8" spans="1:8" x14ac:dyDescent="0.25">
      <c r="A8" s="1" t="s">
        <v>16</v>
      </c>
      <c r="B8" s="1" t="s">
        <v>11</v>
      </c>
      <c r="C8" s="1" t="s">
        <v>11</v>
      </c>
      <c r="D8" s="1" t="s">
        <v>11</v>
      </c>
      <c r="E8" s="1" t="s">
        <v>14</v>
      </c>
    </row>
    <row r="9" spans="1:8" x14ac:dyDescent="0.25">
      <c r="A9" s="1" t="s">
        <v>17</v>
      </c>
      <c r="B9" s="1" t="s">
        <v>7</v>
      </c>
      <c r="C9" s="1" t="s">
        <v>11</v>
      </c>
      <c r="D9" s="1" t="s">
        <v>11</v>
      </c>
      <c r="E9" s="1" t="s">
        <v>14</v>
      </c>
    </row>
    <row r="10" spans="1:8" x14ac:dyDescent="0.25">
      <c r="A10" s="1" t="s">
        <v>18</v>
      </c>
      <c r="B10" s="1" t="s">
        <v>6</v>
      </c>
      <c r="C10" s="1" t="s">
        <v>6</v>
      </c>
      <c r="D10" s="1" t="s">
        <v>6</v>
      </c>
      <c r="E10" s="1" t="s">
        <v>19</v>
      </c>
    </row>
    <row r="11" spans="1:8" x14ac:dyDescent="0.25">
      <c r="A11" s="1" t="s">
        <v>20</v>
      </c>
      <c r="B11" s="1" t="s">
        <v>7</v>
      </c>
      <c r="C11" s="1" t="s">
        <v>7</v>
      </c>
      <c r="D11" s="1" t="s">
        <v>11</v>
      </c>
      <c r="E11" s="1" t="s">
        <v>19</v>
      </c>
    </row>
    <row r="12" spans="1:8" x14ac:dyDescent="0.25">
      <c r="A12" s="1" t="s">
        <v>21</v>
      </c>
      <c r="B12" s="1" t="s">
        <v>6</v>
      </c>
      <c r="C12" s="1" t="s">
        <v>7</v>
      </c>
      <c r="D12" s="1" t="s">
        <v>6</v>
      </c>
      <c r="E12" s="1" t="s">
        <v>19</v>
      </c>
    </row>
    <row r="13" spans="1:8" x14ac:dyDescent="0.25">
      <c r="A13" s="1" t="s">
        <v>22</v>
      </c>
      <c r="B13" s="1" t="s">
        <v>6</v>
      </c>
      <c r="C13" s="1" t="s">
        <v>7</v>
      </c>
      <c r="D13" s="1" t="s">
        <v>11</v>
      </c>
      <c r="E13" s="1" t="s">
        <v>19</v>
      </c>
    </row>
    <row r="15" spans="1:8" ht="20.25" thickBot="1" x14ac:dyDescent="0.35">
      <c r="A15" s="3" t="s">
        <v>26</v>
      </c>
      <c r="B15" s="3"/>
      <c r="D15" s="3" t="s">
        <v>36</v>
      </c>
      <c r="E15" s="3"/>
      <c r="G15" s="3" t="s">
        <v>44</v>
      </c>
      <c r="H15" s="3"/>
    </row>
    <row r="16" spans="1:8" ht="15.75" thickTop="1" x14ac:dyDescent="0.25">
      <c r="A16" s="1" t="s">
        <v>23</v>
      </c>
      <c r="B16" s="1">
        <f>COUNTIF($E$2:$E$13,"Normal")/COUNTIF($E$2:$E$13,"*")</f>
        <v>0.33333333333333331</v>
      </c>
      <c r="D16" s="1" t="s">
        <v>27</v>
      </c>
      <c r="E16" s="1">
        <f>COUNTIF(B2:B5,"Mid")/COUNTIF(E2:E5,"*")</f>
        <v>0.25</v>
      </c>
      <c r="G16" s="1" t="s">
        <v>37</v>
      </c>
      <c r="H16" s="1">
        <f>(E16*E20*E24*B16)/$H$20</f>
        <v>8.9285714285714298E-3</v>
      </c>
    </row>
    <row r="17" spans="1:8" x14ac:dyDescent="0.25">
      <c r="A17" s="1" t="s">
        <v>24</v>
      </c>
      <c r="B17" s="1">
        <f>COUNTIF($E$2:$E$13,"Water")/COUNTIF($E$2:$E$13,"*")</f>
        <v>0.33333333333333331</v>
      </c>
      <c r="D17" s="1" t="s">
        <v>30</v>
      </c>
      <c r="E17" s="1">
        <f>COUNTIF(B6:B9,"Mid")/COUNTIF(E6:E9,"*")</f>
        <v>0.25</v>
      </c>
      <c r="G17" s="1" t="s">
        <v>38</v>
      </c>
      <c r="H17" s="1">
        <f>(E17*E21*E25*B17)/$H$20</f>
        <v>0</v>
      </c>
    </row>
    <row r="18" spans="1:8" x14ac:dyDescent="0.25">
      <c r="A18" s="1" t="s">
        <v>25</v>
      </c>
      <c r="B18" s="1">
        <f>COUNTIF($E$2:$E$13,"Flying")/COUNTIF($E$2:$E$13,"*")</f>
        <v>0.33333333333333331</v>
      </c>
      <c r="D18" s="1" t="s">
        <v>31</v>
      </c>
      <c r="E18" s="1">
        <f>COUNTIF(B10:B13,"Mid")/COUNTIF(E10:E13,"*")</f>
        <v>0.75</v>
      </c>
      <c r="G18" s="1" t="s">
        <v>39</v>
      </c>
      <c r="H18" s="1">
        <f>(E18*E22*E26*B18)/$H$20</f>
        <v>8.0357142857142863E-2</v>
      </c>
    </row>
    <row r="19" spans="1:8" x14ac:dyDescent="0.25">
      <c r="D19" s="1"/>
      <c r="E19" s="1"/>
    </row>
    <row r="20" spans="1:8" x14ac:dyDescent="0.25">
      <c r="A20" s="4"/>
      <c r="B20" s="4"/>
      <c r="D20" s="1" t="s">
        <v>28</v>
      </c>
      <c r="E20" s="1">
        <f>COUNTIF(C2:C5,"High")/COUNTIF(E2:E5,"*")</f>
        <v>0.5</v>
      </c>
      <c r="G20" s="1" t="s">
        <v>40</v>
      </c>
      <c r="H20" s="1">
        <f>(H22*B16)+(H23*B17)+(H24*B18)</f>
        <v>1.1666666666666665</v>
      </c>
    </row>
    <row r="21" spans="1:8" x14ac:dyDescent="0.25">
      <c r="A21" s="4"/>
      <c r="B21" s="4"/>
      <c r="D21" s="1" t="s">
        <v>32</v>
      </c>
      <c r="E21" s="1">
        <f>COUNTIF(C6:C9,"High")/COUNTIF(E6:E9,"*")</f>
        <v>0</v>
      </c>
    </row>
    <row r="22" spans="1:8" x14ac:dyDescent="0.25">
      <c r="A22" s="4"/>
      <c r="B22" s="4"/>
      <c r="D22" s="1" t="s">
        <v>33</v>
      </c>
      <c r="E22" s="1">
        <f>COUNTIF(C10:C13,"High")/COUNTIF(E10:E13,"*")</f>
        <v>0.75</v>
      </c>
      <c r="G22" s="1" t="s">
        <v>41</v>
      </c>
      <c r="H22" s="1">
        <f>(COUNTIF(B2:B5,"Mid")+COUNTIF(C2:C5,"High")+COUNTIF(D2:D5,"Mid"))/COUNTIF(E2:E5,"*")</f>
        <v>1</v>
      </c>
    </row>
    <row r="23" spans="1:8" x14ac:dyDescent="0.25">
      <c r="D23" s="1"/>
      <c r="E23" s="1"/>
      <c r="G23" s="1" t="s">
        <v>42</v>
      </c>
      <c r="H23" s="1">
        <f>(COUNTIF(B6:B9,"Mid")+COUNTIF(C6:C9,"High")+COUNTIF(D6:D9,"Mid"))/COUNTIF(E6:E9,"*")</f>
        <v>0.5</v>
      </c>
    </row>
    <row r="24" spans="1:8" x14ac:dyDescent="0.25">
      <c r="D24" s="1" t="s">
        <v>29</v>
      </c>
      <c r="E24" s="1">
        <f>COUNTIF(D2:D5,"Mid")/COUNTIF(E2:E5,"*")</f>
        <v>0.25</v>
      </c>
      <c r="G24" s="1" t="s">
        <v>43</v>
      </c>
      <c r="H24" s="1">
        <f>(COUNTIF(B10:B13,"Mid")+COUNTIF(C10:C13,"High")+COUNTIF(D10:D13,"Mid"))/COUNTIF(E10:E13,"*")</f>
        <v>2</v>
      </c>
    </row>
    <row r="25" spans="1:8" x14ac:dyDescent="0.25">
      <c r="D25" s="1" t="s">
        <v>34</v>
      </c>
      <c r="E25" s="1">
        <f>COUNTIF(D6:D9,"Mid")/COUNTIF(E6:E9,"*")</f>
        <v>0.25</v>
      </c>
    </row>
    <row r="26" spans="1:8" x14ac:dyDescent="0.25">
      <c r="D26" s="1" t="s">
        <v>35</v>
      </c>
      <c r="E26" s="1">
        <f>COUNTIF(D10:D13,"Mid")/COUNTIF(E10:E13,"*")</f>
        <v>0.5</v>
      </c>
    </row>
  </sheetData>
  <mergeCells count="3">
    <mergeCell ref="A15:B15"/>
    <mergeCell ref="D15:E15"/>
    <mergeCell ref="G15:H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Shaffer, Dylan</dc:creator>
  <cp:lastModifiedBy>Shaffer, Dylan</cp:lastModifiedBy>
  <dcterms:created xsi:type="dcterms:W3CDTF">2026-02-18T14:12:49Z</dcterms:created>
  <dcterms:modified xsi:type="dcterms:W3CDTF">2026-02-18T16:13:06Z</dcterms:modified>
</cp:coreProperties>
</file>