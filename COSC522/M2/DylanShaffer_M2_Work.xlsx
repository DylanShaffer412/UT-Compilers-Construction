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School\COSC522\"/>
    </mc:Choice>
  </mc:AlternateContent>
  <xr:revisionPtr revIDLastSave="0" documentId="13_ncr:1_{B94E2806-9076-4C49-B9B0-51D5D128AD54}" xr6:coauthVersionLast="47" xr6:coauthVersionMax="47" xr10:uidLastSave="{00000000-0000-0000-0000-000000000000}"/>
  <bookViews>
    <workbookView xWindow="-120" yWindow="-120" windowWidth="38640" windowHeight="21120" xr2:uid="{6D197E51-61B5-463C-A0C4-FF5F11441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1" l="1"/>
  <c r="N47" i="1"/>
  <c r="D58" i="1"/>
  <c r="C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B58" i="1"/>
  <c r="A58" i="1"/>
  <c r="M47" i="1"/>
  <c r="D46" i="1"/>
  <c r="D47" i="1"/>
  <c r="D48" i="1"/>
  <c r="D49" i="1"/>
  <c r="D50" i="1"/>
  <c r="D51" i="1"/>
  <c r="D52" i="1"/>
  <c r="D53" i="1"/>
  <c r="D54" i="1"/>
  <c r="D45" i="1"/>
  <c r="Q47" i="1"/>
  <c r="E46" i="1"/>
  <c r="E47" i="1"/>
  <c r="E48" i="1"/>
  <c r="E49" i="1"/>
  <c r="E50" i="1"/>
  <c r="E51" i="1"/>
  <c r="E52" i="1"/>
  <c r="E53" i="1"/>
  <c r="E54" i="1"/>
  <c r="E45" i="1"/>
  <c r="K47" i="1"/>
  <c r="J47" i="1"/>
  <c r="C46" i="1"/>
  <c r="C47" i="1"/>
  <c r="C48" i="1"/>
  <c r="C49" i="1"/>
  <c r="C50" i="1"/>
  <c r="C51" i="1"/>
  <c r="C52" i="1"/>
  <c r="C53" i="1"/>
  <c r="C54" i="1"/>
  <c r="C45" i="1"/>
  <c r="C39" i="1"/>
  <c r="D39" i="1"/>
  <c r="C40" i="1"/>
  <c r="D40" i="1"/>
  <c r="C41" i="1"/>
  <c r="D41" i="1"/>
  <c r="B41" i="1"/>
  <c r="B40" i="1"/>
  <c r="B39" i="1"/>
  <c r="O28" i="1"/>
  <c r="P28" i="1"/>
  <c r="O29" i="1"/>
  <c r="P29" i="1"/>
  <c r="O30" i="1"/>
  <c r="Q30" i="1" s="1"/>
  <c r="R30" i="1" s="1"/>
  <c r="P30" i="1"/>
  <c r="O31" i="1"/>
  <c r="Q31" i="1" s="1"/>
  <c r="R31" i="1" s="1"/>
  <c r="P31" i="1"/>
  <c r="O32" i="1"/>
  <c r="Q32" i="1" s="1"/>
  <c r="R32" i="1" s="1"/>
  <c r="P32" i="1"/>
  <c r="O33" i="1"/>
  <c r="Q33" i="1" s="1"/>
  <c r="R33" i="1" s="1"/>
  <c r="P33" i="1"/>
  <c r="O34" i="1"/>
  <c r="Q34" i="1" s="1"/>
  <c r="R34" i="1" s="1"/>
  <c r="P34" i="1"/>
  <c r="O35" i="1"/>
  <c r="Q35" i="1" s="1"/>
  <c r="R35" i="1" s="1"/>
  <c r="P35" i="1"/>
  <c r="V28" i="1"/>
  <c r="W28" i="1"/>
  <c r="V29" i="1"/>
  <c r="W29" i="1"/>
  <c r="V30" i="1"/>
  <c r="W30" i="1"/>
  <c r="V31" i="1"/>
  <c r="W31" i="1"/>
  <c r="V32" i="1"/>
  <c r="W32" i="1"/>
  <c r="X32" i="1" s="1"/>
  <c r="Y32" i="1" s="1"/>
  <c r="V33" i="1"/>
  <c r="W33" i="1"/>
  <c r="V34" i="1"/>
  <c r="W34" i="1"/>
  <c r="V35" i="1"/>
  <c r="X35" i="1" s="1"/>
  <c r="Y35" i="1" s="1"/>
  <c r="W35" i="1"/>
  <c r="W27" i="1"/>
  <c r="V27" i="1"/>
  <c r="P27" i="1"/>
  <c r="Q27" i="1" s="1"/>
  <c r="R27" i="1" s="1"/>
  <c r="O27" i="1"/>
  <c r="X28" i="1"/>
  <c r="Y28" i="1"/>
  <c r="X29" i="1"/>
  <c r="Y29" i="1"/>
  <c r="X30" i="1"/>
  <c r="Y30" i="1" s="1"/>
  <c r="X31" i="1"/>
  <c r="Y31" i="1" s="1"/>
  <c r="X33" i="1"/>
  <c r="Y33" i="1"/>
  <c r="X34" i="1"/>
  <c r="Y34" i="1" s="1"/>
  <c r="Q28" i="1"/>
  <c r="R28" i="1" s="1"/>
  <c r="Q29" i="1"/>
  <c r="R29" i="1" s="1"/>
  <c r="X27" i="1"/>
  <c r="Y27" i="1" s="1"/>
  <c r="U28" i="1"/>
  <c r="U29" i="1"/>
  <c r="U30" i="1"/>
  <c r="U31" i="1"/>
  <c r="U32" i="1"/>
  <c r="U33" i="1"/>
  <c r="U34" i="1"/>
  <c r="U35" i="1"/>
  <c r="N28" i="1"/>
  <c r="N29" i="1"/>
  <c r="N30" i="1"/>
  <c r="N31" i="1"/>
  <c r="N32" i="1"/>
  <c r="N33" i="1"/>
  <c r="N34" i="1"/>
  <c r="N35" i="1"/>
  <c r="U27" i="1"/>
  <c r="N27" i="1"/>
  <c r="K28" i="1"/>
  <c r="K29" i="1"/>
  <c r="K30" i="1"/>
  <c r="K31" i="1"/>
  <c r="K32" i="1"/>
  <c r="K33" i="1"/>
  <c r="K34" i="1"/>
  <c r="K35" i="1"/>
  <c r="K27" i="1"/>
  <c r="J28" i="1"/>
  <c r="J29" i="1"/>
  <c r="J30" i="1"/>
  <c r="J31" i="1"/>
  <c r="J32" i="1"/>
  <c r="J33" i="1"/>
  <c r="J34" i="1"/>
  <c r="J35" i="1"/>
  <c r="J27" i="1"/>
  <c r="I28" i="1"/>
  <c r="I29" i="1"/>
  <c r="I30" i="1"/>
  <c r="I31" i="1"/>
  <c r="I32" i="1"/>
  <c r="I33" i="1"/>
  <c r="I34" i="1"/>
  <c r="I35" i="1"/>
  <c r="H28" i="1"/>
  <c r="H29" i="1"/>
  <c r="H30" i="1"/>
  <c r="H31" i="1"/>
  <c r="H32" i="1"/>
  <c r="H33" i="1"/>
  <c r="H34" i="1"/>
  <c r="H35" i="1"/>
  <c r="I27" i="1"/>
  <c r="H27" i="1"/>
  <c r="G28" i="1"/>
  <c r="G29" i="1"/>
  <c r="G30" i="1"/>
  <c r="G31" i="1"/>
  <c r="G32" i="1"/>
  <c r="G33" i="1"/>
  <c r="G34" i="1"/>
  <c r="G35" i="1"/>
  <c r="G27" i="1"/>
  <c r="Y22" i="1"/>
  <c r="Y23" i="1"/>
  <c r="X22" i="1"/>
  <c r="X23" i="1"/>
  <c r="Y21" i="1"/>
  <c r="X21" i="1"/>
  <c r="W22" i="1"/>
  <c r="W23" i="1"/>
  <c r="V22" i="1"/>
  <c r="V23" i="1"/>
  <c r="W21" i="1"/>
  <c r="V21" i="1"/>
  <c r="U22" i="1"/>
  <c r="U23" i="1"/>
  <c r="U21" i="1"/>
  <c r="R22" i="1"/>
  <c r="R23" i="1"/>
  <c r="R21" i="1"/>
  <c r="Q22" i="1"/>
  <c r="Q23" i="1"/>
  <c r="Q21" i="1"/>
  <c r="P22" i="1"/>
  <c r="P23" i="1"/>
  <c r="O22" i="1"/>
  <c r="O23" i="1"/>
  <c r="N22" i="1"/>
  <c r="P21" i="1"/>
  <c r="O21" i="1"/>
  <c r="N23" i="1"/>
  <c r="N21" i="1"/>
  <c r="K22" i="1"/>
  <c r="K23" i="1"/>
  <c r="K21" i="1"/>
  <c r="J22" i="1"/>
  <c r="J23" i="1"/>
  <c r="J21" i="1"/>
  <c r="I23" i="1"/>
  <c r="H23" i="1"/>
  <c r="I22" i="1"/>
  <c r="H22" i="1"/>
  <c r="G22" i="1"/>
  <c r="G23" i="1"/>
  <c r="I21" i="1"/>
  <c r="H21" i="1"/>
  <c r="G21" i="1"/>
  <c r="C15" i="1"/>
  <c r="D15" i="1"/>
  <c r="C16" i="1"/>
  <c r="D16" i="1"/>
  <c r="C17" i="1"/>
  <c r="D17" i="1"/>
  <c r="B17" i="1"/>
  <c r="B16" i="1"/>
  <c r="B15" i="1"/>
  <c r="W4" i="1"/>
  <c r="W5" i="1"/>
  <c r="W6" i="1"/>
  <c r="W7" i="1"/>
  <c r="W8" i="1"/>
  <c r="W9" i="1"/>
  <c r="W10" i="1"/>
  <c r="W11" i="1"/>
  <c r="V4" i="1"/>
  <c r="V5" i="1"/>
  <c r="V6" i="1"/>
  <c r="V7" i="1"/>
  <c r="V8" i="1"/>
  <c r="V9" i="1"/>
  <c r="X9" i="1" s="1"/>
  <c r="Y9" i="1" s="1"/>
  <c r="V10" i="1"/>
  <c r="X10" i="1" s="1"/>
  <c r="Y10" i="1" s="1"/>
  <c r="V11" i="1"/>
  <c r="X11" i="1" s="1"/>
  <c r="Y11" i="1" s="1"/>
  <c r="W3" i="1"/>
  <c r="V3" i="1"/>
  <c r="X3" i="1" s="1"/>
  <c r="Y3" i="1" s="1"/>
  <c r="U4" i="1"/>
  <c r="X4" i="1" s="1"/>
  <c r="Y4" i="1" s="1"/>
  <c r="U5" i="1"/>
  <c r="X5" i="1" s="1"/>
  <c r="Y5" i="1" s="1"/>
  <c r="U6" i="1"/>
  <c r="X6" i="1" s="1"/>
  <c r="Y6" i="1" s="1"/>
  <c r="U7" i="1"/>
  <c r="X7" i="1" s="1"/>
  <c r="Y7" i="1" s="1"/>
  <c r="U8" i="1"/>
  <c r="X8" i="1" s="1"/>
  <c r="Y8" i="1" s="1"/>
  <c r="U9" i="1"/>
  <c r="U10" i="1"/>
  <c r="U11" i="1"/>
  <c r="U3" i="1"/>
  <c r="P4" i="1"/>
  <c r="P5" i="1"/>
  <c r="P6" i="1"/>
  <c r="P7" i="1"/>
  <c r="P8" i="1"/>
  <c r="P9" i="1"/>
  <c r="P10" i="1"/>
  <c r="P11" i="1"/>
  <c r="O4" i="1"/>
  <c r="O5" i="1"/>
  <c r="O6" i="1"/>
  <c r="O7" i="1"/>
  <c r="O8" i="1"/>
  <c r="O9" i="1"/>
  <c r="O10" i="1"/>
  <c r="O11" i="1"/>
  <c r="P3" i="1"/>
  <c r="O3" i="1"/>
  <c r="Q3" i="1" s="1"/>
  <c r="R3" i="1" s="1"/>
  <c r="N4" i="1"/>
  <c r="Q4" i="1" s="1"/>
  <c r="R4" i="1" s="1"/>
  <c r="N5" i="1"/>
  <c r="Q5" i="1" s="1"/>
  <c r="R5" i="1" s="1"/>
  <c r="N6" i="1"/>
  <c r="Q6" i="1" s="1"/>
  <c r="R6" i="1" s="1"/>
  <c r="N7" i="1"/>
  <c r="Q7" i="1" s="1"/>
  <c r="R7" i="1" s="1"/>
  <c r="N8" i="1"/>
  <c r="Q8" i="1" s="1"/>
  <c r="R8" i="1" s="1"/>
  <c r="N9" i="1"/>
  <c r="Q9" i="1" s="1"/>
  <c r="R9" i="1" s="1"/>
  <c r="N10" i="1"/>
  <c r="Q10" i="1" s="1"/>
  <c r="R10" i="1" s="1"/>
  <c r="N11" i="1"/>
  <c r="Q11" i="1" s="1"/>
  <c r="R11" i="1" s="1"/>
  <c r="N3" i="1"/>
  <c r="J5" i="1"/>
  <c r="K5" i="1" s="1"/>
  <c r="J6" i="1"/>
  <c r="K6" i="1" s="1"/>
  <c r="J9" i="1"/>
  <c r="K9" i="1" s="1"/>
  <c r="I4" i="1"/>
  <c r="I5" i="1"/>
  <c r="I6" i="1"/>
  <c r="I7" i="1"/>
  <c r="I8" i="1"/>
  <c r="I9" i="1"/>
  <c r="I10" i="1"/>
  <c r="I11" i="1"/>
  <c r="H4" i="1"/>
  <c r="J4" i="1" s="1"/>
  <c r="K4" i="1" s="1"/>
  <c r="H5" i="1"/>
  <c r="H6" i="1"/>
  <c r="H7" i="1"/>
  <c r="H8" i="1"/>
  <c r="H9" i="1"/>
  <c r="H10" i="1"/>
  <c r="H11" i="1"/>
  <c r="I3" i="1"/>
  <c r="H3" i="1"/>
  <c r="G4" i="1"/>
  <c r="G5" i="1"/>
  <c r="G6" i="1"/>
  <c r="G7" i="1"/>
  <c r="J7" i="1" s="1"/>
  <c r="K7" i="1" s="1"/>
  <c r="G8" i="1"/>
  <c r="J8" i="1" s="1"/>
  <c r="K8" i="1" s="1"/>
  <c r="G9" i="1"/>
  <c r="G10" i="1"/>
  <c r="J10" i="1" s="1"/>
  <c r="K10" i="1" s="1"/>
  <c r="G11" i="1"/>
  <c r="J11" i="1" s="1"/>
  <c r="K11" i="1" s="1"/>
  <c r="G3" i="1"/>
  <c r="J3" i="1" s="1"/>
  <c r="K3" i="1" s="1"/>
</calcChain>
</file>

<file path=xl/sharedStrings.xml><?xml version="1.0" encoding="utf-8"?>
<sst xmlns="http://schemas.openxmlformats.org/spreadsheetml/2006/main" count="213" uniqueCount="51">
  <si>
    <t>Point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</si>
  <si>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</si>
  <si>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</si>
  <si>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</si>
  <si>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</si>
  <si>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</si>
  <si>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</si>
  <si>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</si>
  <si>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</si>
  <si>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</si>
  <si>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</si>
  <si>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</si>
  <si>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</si>
  <si>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Question 1</t>
  </si>
  <si>
    <t>Distance from point a</t>
  </si>
  <si>
    <t>Distance from point e</t>
  </si>
  <si>
    <t>Distance from point i</t>
  </si>
  <si>
    <t>sum</t>
  </si>
  <si>
    <t>sqrt</t>
  </si>
  <si>
    <t>Centroid 1</t>
  </si>
  <si>
    <t>Centroid 2</t>
  </si>
  <si>
    <t>Centroid 3</t>
  </si>
  <si>
    <t>Question 2</t>
  </si>
  <si>
    <t>Distance from cent 1</t>
  </si>
  <si>
    <t>Distance from cent 2</t>
  </si>
  <si>
    <t>Distance from cent 3</t>
  </si>
  <si>
    <t>Distance from point b</t>
  </si>
  <si>
    <t>Distance from point d</t>
  </si>
  <si>
    <t>Distance from point h</t>
  </si>
  <si>
    <t>Next iteration centroids</t>
  </si>
  <si>
    <t>Question 3</t>
  </si>
  <si>
    <t>Vector A</t>
  </si>
  <si>
    <t>Vector B</t>
  </si>
  <si>
    <t>Question 5</t>
  </si>
  <si>
    <t>Euclidean Distance</t>
  </si>
  <si>
    <t>Sum</t>
  </si>
  <si>
    <t>Sqrt</t>
  </si>
  <si>
    <t>Cosine Distance</t>
  </si>
  <si>
    <t>Manhattan Distance</t>
  </si>
  <si>
    <t>Question 7</t>
  </si>
  <si>
    <t>Question 6</t>
  </si>
  <si>
    <t>Sum of abs differences</t>
  </si>
  <si>
    <t>Sum (dot product)</t>
  </si>
  <si>
    <t>A Squared</t>
  </si>
  <si>
    <t>B Squared</t>
  </si>
  <si>
    <t>Sqrt Sum A</t>
  </si>
  <si>
    <t>Sqrt Sum B</t>
  </si>
  <si>
    <t>Length A</t>
  </si>
  <si>
    <t>Length B</t>
  </si>
  <si>
    <t>LenA*LenB</t>
  </si>
  <si>
    <t>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</si>
</sst>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33">
    <xf numFmtId="0" fontId="0" fillId="0" borderId="0" xfId="0"/>
    <xf numFmtId="0" fontId="0" fillId="0" borderId="0" xfId="0" applyFont="1"/>
    <xf numFmtId="0" fontId="1" fillId="0" borderId="1" xfId="1" applyFill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3" xfId="0" applyFont="1" applyBorder="1"/>
    <xf numFmtId="0" fontId="0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right" vertical="center" wrapText="1"/>
    </xf>
    <xf numFmtId="0" fontId="0" fillId="0" borderId="0" xfId="0" applyFont="1" applyBorder="1"/>
    <xf numFmtId="0" fontId="3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3" xfId="0" applyBorder="1"/>
    <xf numFmtId="0" fontId="1" fillId="0" borderId="1" xfId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/>
    <xf numFmtId="0" fontId="0" fillId="0" borderId="3" xfId="0" applyFont="1" applyBorder="1" applyAlignment="1"/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" fillId="0" borderId="1" xfId="1"/>
    <xf numFmtId="0" fontId="2" fillId="2" borderId="2" xfId="2" applyBorder="1"/>
    <xf numFmtId="0" fontId="0" fillId="0" borderId="0" xfId="0" applyFont="1" applyBorder="1" applyAlignment="1"/>
    <xf numFmtId="0" fontId="1" fillId="0" borderId="1" xfId="1" applyFill="1" applyAlignment="1">
      <alignment horizontal="center"/>
    </xf>
    <xf numFmtId="0" fontId="2" fillId="2" borderId="3" xfId="2" applyBorder="1"/>
    <xf numFmtId="0" fontId="2" fillId="2" borderId="3" xfId="2" applyBorder="1" applyAlignment="1">
      <alignment horizontal="center"/>
    </xf>
    <xf numFmtId="0" fontId="2" fillId="2" borderId="3" xfId="2" applyBorder="1"/>
  </cellXfs>
  <cellStyles count="3">
    <cellStyle name="Good" xfId="2" builtinId="26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51</xdr:row>
      <xdr:rowOff>61912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1F8092-971D-77B2-C957-48E5FEDCFF6C}"/>
            </a:ext>
          </a:extLst>
        </xdr:cNvPr>
        <xdr:cNvSpPr txBox="1"/>
      </xdr:nvSpPr>
      <xdr:spPr>
        <a:xfrm>
          <a:off x="11506200" y="9920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152400</xdr:colOff>
      <xdr:row>43</xdr:row>
      <xdr:rowOff>33337</xdr:rowOff>
    </xdr:from>
    <xdr:ext cx="552450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BFE094-493B-68F1-7CE9-37AA676AC5D6}"/>
                </a:ext>
              </a:extLst>
            </xdr:cNvPr>
            <xdr:cNvSpPr txBox="1"/>
          </xdr:nvSpPr>
          <xdr:spPr>
            <a:xfrm>
              <a:off x="1657350" y="8367712"/>
              <a:ext cx="55245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a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n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-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b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n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BFE094-493B-68F1-7CE9-37AA676AC5D6}"/>
                </a:ext>
              </a:extLst>
            </xdr:cNvPr>
            <xdr:cNvSpPr txBox="1"/>
          </xdr:nvSpPr>
          <xdr:spPr>
            <a:xfrm>
              <a:off x="1657350" y="8367712"/>
              <a:ext cx="552450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(a〗_n 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-"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b_n 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76200</xdr:colOff>
      <xdr:row>43</xdr:row>
      <xdr:rowOff>52387</xdr:rowOff>
    </xdr:from>
    <xdr:ext cx="452303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9B5310C-2A2D-EC49-F4F0-8A9351D84502}"/>
                </a:ext>
              </a:extLst>
            </xdr:cNvPr>
            <xdr:cNvSpPr txBox="1"/>
          </xdr:nvSpPr>
          <xdr:spPr>
            <a:xfrm>
              <a:off x="3276600" y="8386762"/>
              <a:ext cx="4523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a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n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-</m:t>
                        </m:r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b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n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9B5310C-2A2D-EC49-F4F0-8A9351D84502}"/>
                </a:ext>
              </a:extLst>
            </xdr:cNvPr>
            <xdr:cNvSpPr txBox="1"/>
          </xdr:nvSpPr>
          <xdr:spPr>
            <a:xfrm>
              <a:off x="3276600" y="8386762"/>
              <a:ext cx="4523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a_n-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 |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266700</xdr:colOff>
      <xdr:row>43</xdr:row>
      <xdr:rowOff>52387</xdr:rowOff>
    </xdr:from>
    <xdr:ext cx="362022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0AD9826-48E2-9093-0134-EC94D7123092}"/>
                </a:ext>
              </a:extLst>
            </xdr:cNvPr>
            <xdr:cNvSpPr txBox="1"/>
          </xdr:nvSpPr>
          <xdr:spPr>
            <a:xfrm>
              <a:off x="2619375" y="8386762"/>
              <a:ext cx="3620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a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*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b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n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0AD9826-48E2-9093-0134-EC94D7123092}"/>
                </a:ext>
              </a:extLst>
            </xdr:cNvPr>
            <xdr:cNvSpPr txBox="1"/>
          </xdr:nvSpPr>
          <xdr:spPr>
            <a:xfrm>
              <a:off x="2619375" y="8386762"/>
              <a:ext cx="3620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a_n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*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b_n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62DA-7D50-4A1E-BFF3-872C9B5453C3}">
  <dimension ref="A1:AE67"/>
  <sheetViews>
    <sheetView tabSelected="1" workbookViewId="0">
      <selection activeCell="M53" sqref="M53"/>
    </sheetView>
  </sheetViews>
  <sheetFormatPr defaultColWidth="8.140625" defaultRowHeight="15" x14ac:dyDescent="0.25"/>
  <cols>
    <col min="1" max="2" width="8.140625" style="1"/>
    <col min="3" max="3" width="11.7109375" style="1" customWidth="1"/>
    <col min="4" max="4" width="11.140625" style="1" customWidth="1"/>
    <col min="5" max="8" width="8.140625" style="1"/>
    <col min="9" max="11" width="12" style="1" bestFit="1" customWidth="1"/>
    <col min="12" max="12" width="8.140625" style="1"/>
    <col min="13" max="13" width="17" style="1" bestFit="1" customWidth="1"/>
    <col min="14" max="14" width="11" style="1" bestFit="1" customWidth="1"/>
    <col min="15" max="16" width="12" style="1" bestFit="1" customWidth="1"/>
    <col min="17" max="17" width="21.140625" style="1" bestFit="1" customWidth="1"/>
    <col min="18" max="18" width="12" style="1" bestFit="1" customWidth="1"/>
    <col min="19" max="16384" width="8.140625" style="1"/>
  </cols>
  <sheetData>
    <row r="1" spans="1:31" ht="15" customHeight="1" x14ac:dyDescent="0.25">
      <c r="F1" s="11" t="s">
        <v>14</v>
      </c>
      <c r="G1" s="11"/>
      <c r="H1" s="11"/>
      <c r="I1" s="11"/>
      <c r="J1" s="11"/>
      <c r="K1" s="11"/>
      <c r="M1" s="12" t="s">
        <v>15</v>
      </c>
      <c r="N1" s="12"/>
      <c r="O1" s="12"/>
      <c r="P1" s="12"/>
      <c r="Q1" s="12"/>
      <c r="R1" s="12"/>
      <c r="T1" s="11" t="s">
        <v>16</v>
      </c>
      <c r="U1" s="11"/>
      <c r="V1" s="11"/>
      <c r="W1" s="11"/>
      <c r="X1" s="11"/>
      <c r="Y1" s="11"/>
      <c r="AC1" s="8"/>
      <c r="AD1" s="10"/>
      <c r="AE1" s="8"/>
    </row>
    <row r="2" spans="1:31" ht="1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17</v>
      </c>
      <c r="K2" s="3" t="s">
        <v>18</v>
      </c>
      <c r="M2" s="3" t="s">
        <v>0</v>
      </c>
      <c r="N2" s="3" t="s">
        <v>1</v>
      </c>
      <c r="O2" s="3" t="s">
        <v>2</v>
      </c>
      <c r="P2" s="3" t="s">
        <v>3</v>
      </c>
      <c r="Q2" s="3" t="s">
        <v>17</v>
      </c>
      <c r="R2" s="3" t="s">
        <v>18</v>
      </c>
      <c r="T2" s="3" t="s">
        <v>0</v>
      </c>
      <c r="U2" s="3" t="s">
        <v>1</v>
      </c>
      <c r="V2" s="3" t="s">
        <v>2</v>
      </c>
      <c r="W2" s="3" t="s">
        <v>3</v>
      </c>
      <c r="X2" s="3" t="s">
        <v>17</v>
      </c>
      <c r="Y2" s="3" t="s">
        <v>18</v>
      </c>
      <c r="AC2" s="8"/>
      <c r="AD2" s="9"/>
      <c r="AE2" s="8"/>
    </row>
    <row r="3" spans="1:31" x14ac:dyDescent="0.25">
      <c r="A3" s="6" t="s">
        <v>4</v>
      </c>
      <c r="B3" s="7">
        <v>0.76</v>
      </c>
      <c r="C3" s="7">
        <v>0.16</v>
      </c>
      <c r="D3" s="7">
        <v>-0.39</v>
      </c>
      <c r="F3" s="5" t="s">
        <v>4</v>
      </c>
      <c r="G3" s="4">
        <f>($B$3-B3)*($B$3-B3)</f>
        <v>0</v>
      </c>
      <c r="H3" s="4">
        <f>($C$3-C3)*($C$3-C3)</f>
        <v>0</v>
      </c>
      <c r="I3" s="4">
        <f>($D$3-D3)*($D$3-D3)</f>
        <v>0</v>
      </c>
      <c r="J3" s="4">
        <f>SUM(G3:I3)</f>
        <v>0</v>
      </c>
      <c r="K3" s="4">
        <f>SQRT(J3)</f>
        <v>0</v>
      </c>
      <c r="M3" s="5" t="s">
        <v>4</v>
      </c>
      <c r="N3" s="4">
        <f>($B$7-B3)*($B$7-B3)</f>
        <v>2.5000000000000044E-3</v>
      </c>
      <c r="O3" s="4">
        <f>($C$7-C3)*($C$7-C3)</f>
        <v>4.8399999999999999E-2</v>
      </c>
      <c r="P3" s="4">
        <f>($D$7-D3)*($D$7-D3)</f>
        <v>0.1024</v>
      </c>
      <c r="Q3" s="4">
        <f>SUM(N3:P3)</f>
        <v>0.15329999999999999</v>
      </c>
      <c r="R3" s="4">
        <f>SQRT(Q3)</f>
        <v>0.39153543900903787</v>
      </c>
      <c r="T3" s="5" t="s">
        <v>4</v>
      </c>
      <c r="U3" s="4">
        <f>($B$11-B3)*($B$11-B3)</f>
        <v>0.39690000000000003</v>
      </c>
      <c r="V3" s="4">
        <f>($C$11-C3)*($C$11-C3)</f>
        <v>1.2100000000000003E-2</v>
      </c>
      <c r="W3" s="4">
        <f>($D$11-D3)*($D$11-D3)</f>
        <v>1.5128999999999999</v>
      </c>
      <c r="X3" s="4">
        <f>SUM(U3:W3)</f>
        <v>1.9218999999999999</v>
      </c>
      <c r="Y3" s="4">
        <f>SQRT(X3)</f>
        <v>1.3863260799682013</v>
      </c>
    </row>
    <row r="4" spans="1:31" x14ac:dyDescent="0.25">
      <c r="A4" s="5" t="s">
        <v>5</v>
      </c>
      <c r="B4" s="7">
        <v>0.6</v>
      </c>
      <c r="C4" s="7">
        <v>0.1</v>
      </c>
      <c r="D4" s="7">
        <v>-0.38</v>
      </c>
      <c r="F4" s="5" t="s">
        <v>5</v>
      </c>
      <c r="G4" s="4">
        <f t="shared" ref="G4:G11" si="0">($B$3-B4)*($B$3-B4)</f>
        <v>2.5600000000000012E-2</v>
      </c>
      <c r="H4" s="4">
        <f t="shared" ref="H4:H11" si="1">($C$3-C4)*($C$3-C4)</f>
        <v>3.5999999999999999E-3</v>
      </c>
      <c r="I4" s="4">
        <f t="shared" ref="I4:I11" si="2">($D$3-D4)*($D$3-D4)</f>
        <v>1.0000000000000018E-4</v>
      </c>
      <c r="J4" s="4">
        <f t="shared" ref="J4:J11" si="3">SUM(G4:I4)</f>
        <v>2.930000000000001E-2</v>
      </c>
      <c r="K4" s="4">
        <f t="shared" ref="K4:K11" si="4">SQRT(J4)</f>
        <v>0.17117242768623692</v>
      </c>
      <c r="M4" s="5" t="s">
        <v>5</v>
      </c>
      <c r="N4" s="4">
        <f t="shared" ref="N4:N11" si="5">($B$7-B4)*($B$7-B4)</f>
        <v>1.2099999999999998E-2</v>
      </c>
      <c r="O4" s="4">
        <f t="shared" ref="O4:O11" si="6">($C$7-C4)*($C$7-C4)</f>
        <v>7.8400000000000011E-2</v>
      </c>
      <c r="P4" s="4">
        <f t="shared" ref="P4:P11" si="7">($D$7-D4)*($D$7-D4)</f>
        <v>9.6100000000000005E-2</v>
      </c>
      <c r="Q4" s="4">
        <f t="shared" ref="Q4:Q11" si="8">SUM(N4:P4)</f>
        <v>0.18660000000000002</v>
      </c>
      <c r="R4" s="4">
        <f t="shared" ref="R4:R11" si="9">SQRT(Q4)</f>
        <v>0.43197222132910357</v>
      </c>
      <c r="T4" s="5" t="s">
        <v>5</v>
      </c>
      <c r="U4" s="4">
        <f t="shared" ref="U4:U11" si="10">($B$11-B4)*($B$11-B4)</f>
        <v>0.22089999999999999</v>
      </c>
      <c r="V4" s="4">
        <f t="shared" ref="V4:V11" si="11">($C$11-C4)*($C$11-C4)</f>
        <v>2.8900000000000006E-2</v>
      </c>
      <c r="W4" s="4">
        <f t="shared" ref="W4:W11" si="12">($D$11-D4)*($D$11-D4)</f>
        <v>1.4883999999999999</v>
      </c>
      <c r="X4" s="4">
        <f t="shared" ref="X4:X11" si="13">SUM(U4:W4)</f>
        <v>1.7382</v>
      </c>
      <c r="Y4" s="4">
        <f t="shared" ref="Y4:Y11" si="14">SQRT(X4)</f>
        <v>1.3184081310428877</v>
      </c>
    </row>
    <row r="5" spans="1:31" x14ac:dyDescent="0.25">
      <c r="A5" s="5" t="s">
        <v>6</v>
      </c>
      <c r="B5" s="7">
        <v>-0.03</v>
      </c>
      <c r="C5" s="7">
        <v>0.51</v>
      </c>
      <c r="D5" s="7">
        <v>0.12</v>
      </c>
      <c r="F5" s="5" t="s">
        <v>6</v>
      </c>
      <c r="G5" s="4">
        <f t="shared" si="0"/>
        <v>0.6241000000000001</v>
      </c>
      <c r="H5" s="4">
        <f t="shared" si="1"/>
        <v>0.12249999999999998</v>
      </c>
      <c r="I5" s="4">
        <f t="shared" si="2"/>
        <v>0.2601</v>
      </c>
      <c r="J5" s="4">
        <f t="shared" si="3"/>
        <v>1.0066999999999999</v>
      </c>
      <c r="K5" s="4">
        <f t="shared" si="4"/>
        <v>1.0033444074693394</v>
      </c>
      <c r="M5" s="5" t="s">
        <v>6</v>
      </c>
      <c r="N5" s="4">
        <f t="shared" si="5"/>
        <v>0.54759999999999998</v>
      </c>
      <c r="O5" s="4">
        <f t="shared" si="6"/>
        <v>1.6900000000000002E-2</v>
      </c>
      <c r="P5" s="4">
        <f t="shared" si="7"/>
        <v>3.61E-2</v>
      </c>
      <c r="Q5" s="4">
        <f t="shared" si="8"/>
        <v>0.60060000000000002</v>
      </c>
      <c r="R5" s="4">
        <f t="shared" si="9"/>
        <v>0.7749838707999025</v>
      </c>
      <c r="T5" s="5" t="s">
        <v>6</v>
      </c>
      <c r="U5" s="4">
        <f t="shared" si="10"/>
        <v>2.5600000000000001E-2</v>
      </c>
      <c r="V5" s="4">
        <f t="shared" si="11"/>
        <v>5.7599999999999998E-2</v>
      </c>
      <c r="W5" s="4">
        <f t="shared" si="12"/>
        <v>0.51839999999999997</v>
      </c>
      <c r="X5" s="4">
        <f t="shared" si="13"/>
        <v>0.60159999999999991</v>
      </c>
      <c r="Y5" s="4">
        <f t="shared" si="14"/>
        <v>0.77562877718661261</v>
      </c>
    </row>
    <row r="6" spans="1:31" x14ac:dyDescent="0.25">
      <c r="A6" s="5" t="s">
        <v>7</v>
      </c>
      <c r="B6" s="7">
        <v>0.22</v>
      </c>
      <c r="C6" s="7">
        <v>0.2</v>
      </c>
      <c r="D6" s="7">
        <v>0.02</v>
      </c>
      <c r="F6" s="5" t="s">
        <v>7</v>
      </c>
      <c r="G6" s="4">
        <f t="shared" si="0"/>
        <v>0.29160000000000003</v>
      </c>
      <c r="H6" s="4">
        <f t="shared" si="1"/>
        <v>1.6000000000000007E-3</v>
      </c>
      <c r="I6" s="4">
        <f t="shared" si="2"/>
        <v>0.16810000000000003</v>
      </c>
      <c r="J6" s="4">
        <f t="shared" si="3"/>
        <v>0.46130000000000004</v>
      </c>
      <c r="K6" s="4">
        <f t="shared" si="4"/>
        <v>0.67919069487147721</v>
      </c>
      <c r="M6" s="5" t="s">
        <v>7</v>
      </c>
      <c r="N6" s="4">
        <f t="shared" si="5"/>
        <v>0.24009999999999998</v>
      </c>
      <c r="O6" s="4">
        <f t="shared" si="6"/>
        <v>3.2399999999999998E-2</v>
      </c>
      <c r="P6" s="4">
        <f t="shared" si="7"/>
        <v>8.1000000000000013E-3</v>
      </c>
      <c r="Q6" s="4">
        <f t="shared" si="8"/>
        <v>0.28059999999999996</v>
      </c>
      <c r="R6" s="4">
        <f t="shared" si="9"/>
        <v>0.52971690552596107</v>
      </c>
      <c r="T6" s="5" t="s">
        <v>7</v>
      </c>
      <c r="U6" s="4">
        <f t="shared" si="10"/>
        <v>8.0999999999999996E-3</v>
      </c>
      <c r="V6" s="4">
        <f t="shared" si="11"/>
        <v>4.9000000000000007E-3</v>
      </c>
      <c r="W6" s="4">
        <f t="shared" si="12"/>
        <v>0.67239999999999989</v>
      </c>
      <c r="X6" s="4">
        <f t="shared" si="13"/>
        <v>0.6853999999999999</v>
      </c>
      <c r="Y6" s="4">
        <f t="shared" si="14"/>
        <v>0.82788888143276806</v>
      </c>
    </row>
    <row r="7" spans="1:31" x14ac:dyDescent="0.25">
      <c r="A7" s="6" t="s">
        <v>8</v>
      </c>
      <c r="B7" s="7">
        <v>0.71</v>
      </c>
      <c r="C7" s="7">
        <v>0.38</v>
      </c>
      <c r="D7" s="7">
        <v>-7.0000000000000007E-2</v>
      </c>
      <c r="F7" s="5" t="s">
        <v>8</v>
      </c>
      <c r="G7" s="4">
        <f t="shared" si="0"/>
        <v>2.5000000000000044E-3</v>
      </c>
      <c r="H7" s="4">
        <f t="shared" si="1"/>
        <v>4.8399999999999999E-2</v>
      </c>
      <c r="I7" s="4">
        <f t="shared" si="2"/>
        <v>0.1024</v>
      </c>
      <c r="J7" s="4">
        <f t="shared" si="3"/>
        <v>0.15329999999999999</v>
      </c>
      <c r="K7" s="4">
        <f t="shared" si="4"/>
        <v>0.39153543900903787</v>
      </c>
      <c r="M7" s="5" t="s">
        <v>8</v>
      </c>
      <c r="N7" s="4">
        <f t="shared" si="5"/>
        <v>0</v>
      </c>
      <c r="O7" s="4">
        <f t="shared" si="6"/>
        <v>0</v>
      </c>
      <c r="P7" s="4">
        <f t="shared" si="7"/>
        <v>0</v>
      </c>
      <c r="Q7" s="4">
        <f t="shared" si="8"/>
        <v>0</v>
      </c>
      <c r="R7" s="4">
        <f t="shared" si="9"/>
        <v>0</v>
      </c>
      <c r="T7" s="5" t="s">
        <v>8</v>
      </c>
      <c r="U7" s="4">
        <f t="shared" si="10"/>
        <v>0.33639999999999998</v>
      </c>
      <c r="V7" s="4">
        <f t="shared" si="11"/>
        <v>1.2099999999999998E-2</v>
      </c>
      <c r="W7" s="4">
        <f t="shared" si="12"/>
        <v>0.82809999999999984</v>
      </c>
      <c r="X7" s="4">
        <f t="shared" si="13"/>
        <v>1.1765999999999999</v>
      </c>
      <c r="Y7" s="4">
        <f t="shared" si="14"/>
        <v>1.0847119433287347</v>
      </c>
    </row>
    <row r="8" spans="1:31" x14ac:dyDescent="0.25">
      <c r="A8" s="5" t="s">
        <v>9</v>
      </c>
      <c r="B8" s="7">
        <v>0.85</v>
      </c>
      <c r="C8" s="7">
        <v>-0.28000000000000003</v>
      </c>
      <c r="D8" s="7">
        <v>0.03</v>
      </c>
      <c r="F8" s="5" t="s">
        <v>9</v>
      </c>
      <c r="G8" s="4">
        <f t="shared" si="0"/>
        <v>8.0999999999999944E-3</v>
      </c>
      <c r="H8" s="4">
        <f t="shared" si="1"/>
        <v>0.19360000000000005</v>
      </c>
      <c r="I8" s="4">
        <f t="shared" si="2"/>
        <v>0.17640000000000003</v>
      </c>
      <c r="J8" s="4">
        <f t="shared" si="3"/>
        <v>0.3781000000000001</v>
      </c>
      <c r="K8" s="4">
        <f t="shared" si="4"/>
        <v>0.61489836558572841</v>
      </c>
      <c r="M8" s="5" t="s">
        <v>9</v>
      </c>
      <c r="N8" s="4">
        <f t="shared" si="5"/>
        <v>1.9600000000000003E-2</v>
      </c>
      <c r="O8" s="4">
        <f t="shared" si="6"/>
        <v>0.43560000000000004</v>
      </c>
      <c r="P8" s="4">
        <f t="shared" si="7"/>
        <v>1.0000000000000002E-2</v>
      </c>
      <c r="Q8" s="4">
        <f t="shared" si="8"/>
        <v>0.46520000000000006</v>
      </c>
      <c r="R8" s="4">
        <f t="shared" si="9"/>
        <v>0.68205571619919736</v>
      </c>
      <c r="T8" s="5" t="s">
        <v>9</v>
      </c>
      <c r="U8" s="4">
        <f t="shared" si="10"/>
        <v>0.51839999999999997</v>
      </c>
      <c r="V8" s="4">
        <f t="shared" si="11"/>
        <v>0.30250000000000005</v>
      </c>
      <c r="W8" s="4">
        <f t="shared" si="12"/>
        <v>0.65609999999999991</v>
      </c>
      <c r="X8" s="4">
        <f t="shared" si="13"/>
        <v>1.4769999999999999</v>
      </c>
      <c r="Y8" s="4">
        <f t="shared" si="14"/>
        <v>1.2153188881935473</v>
      </c>
    </row>
    <row r="9" spans="1:31" x14ac:dyDescent="0.25">
      <c r="A9" s="5" t="s">
        <v>10</v>
      </c>
      <c r="B9" s="7">
        <v>-0.2</v>
      </c>
      <c r="C9" s="7">
        <v>-0.05</v>
      </c>
      <c r="D9" s="7">
        <v>0.05</v>
      </c>
      <c r="F9" s="5" t="s">
        <v>10</v>
      </c>
      <c r="G9" s="4">
        <f t="shared" si="0"/>
        <v>0.92159999999999997</v>
      </c>
      <c r="H9" s="4">
        <f t="shared" si="1"/>
        <v>4.4100000000000007E-2</v>
      </c>
      <c r="I9" s="4">
        <f t="shared" si="2"/>
        <v>0.19359999999999999</v>
      </c>
      <c r="J9" s="4">
        <f t="shared" si="3"/>
        <v>1.1593</v>
      </c>
      <c r="K9" s="4">
        <f t="shared" si="4"/>
        <v>1.0767079455451232</v>
      </c>
      <c r="M9" s="5" t="s">
        <v>10</v>
      </c>
      <c r="N9" s="4">
        <f t="shared" si="5"/>
        <v>0.82809999999999984</v>
      </c>
      <c r="O9" s="4">
        <f t="shared" si="6"/>
        <v>0.18489999999999998</v>
      </c>
      <c r="P9" s="4">
        <f t="shared" si="7"/>
        <v>1.4400000000000003E-2</v>
      </c>
      <c r="Q9" s="4">
        <f t="shared" si="8"/>
        <v>1.0273999999999999</v>
      </c>
      <c r="R9" s="4">
        <f t="shared" si="9"/>
        <v>1.0136074190730846</v>
      </c>
      <c r="T9" s="5" t="s">
        <v>10</v>
      </c>
      <c r="U9" s="4">
        <f t="shared" si="10"/>
        <v>0.10890000000000001</v>
      </c>
      <c r="V9" s="4">
        <f t="shared" si="11"/>
        <v>0.1024</v>
      </c>
      <c r="W9" s="4">
        <f t="shared" si="12"/>
        <v>0.62409999999999988</v>
      </c>
      <c r="X9" s="4">
        <f t="shared" si="13"/>
        <v>0.83539999999999992</v>
      </c>
      <c r="Y9" s="4">
        <f t="shared" si="14"/>
        <v>0.91400218818118806</v>
      </c>
    </row>
    <row r="10" spans="1:31" x14ac:dyDescent="0.25">
      <c r="A10" s="5" t="s">
        <v>11</v>
      </c>
      <c r="B10" s="7">
        <v>-0.5</v>
      </c>
      <c r="C10" s="7">
        <v>0.18</v>
      </c>
      <c r="D10" s="7">
        <v>0.4</v>
      </c>
      <c r="F10" s="5" t="s">
        <v>11</v>
      </c>
      <c r="G10" s="4">
        <f t="shared" si="0"/>
        <v>1.5876000000000001</v>
      </c>
      <c r="H10" s="4">
        <f t="shared" si="1"/>
        <v>3.9999999999999959E-4</v>
      </c>
      <c r="I10" s="4">
        <f t="shared" si="2"/>
        <v>0.6241000000000001</v>
      </c>
      <c r="J10" s="4">
        <f t="shared" si="3"/>
        <v>2.2121000000000004</v>
      </c>
      <c r="K10" s="4">
        <f t="shared" si="4"/>
        <v>1.4873130134574901</v>
      </c>
      <c r="M10" s="5" t="s">
        <v>11</v>
      </c>
      <c r="N10" s="4">
        <f t="shared" si="5"/>
        <v>1.4641</v>
      </c>
      <c r="O10" s="4">
        <f t="shared" si="6"/>
        <v>4.0000000000000008E-2</v>
      </c>
      <c r="P10" s="4">
        <f t="shared" si="7"/>
        <v>0.22090000000000004</v>
      </c>
      <c r="Q10" s="4">
        <f t="shared" si="8"/>
        <v>1.7250000000000001</v>
      </c>
      <c r="R10" s="4">
        <f t="shared" si="9"/>
        <v>1.3133925536563698</v>
      </c>
      <c r="T10" s="5" t="s">
        <v>11</v>
      </c>
      <c r="U10" s="4">
        <f t="shared" si="10"/>
        <v>0.39690000000000003</v>
      </c>
      <c r="V10" s="4">
        <f t="shared" si="11"/>
        <v>8.1000000000000048E-3</v>
      </c>
      <c r="W10" s="4">
        <f t="shared" si="12"/>
        <v>0.19359999999999997</v>
      </c>
      <c r="X10" s="4">
        <f t="shared" si="13"/>
        <v>0.59860000000000002</v>
      </c>
      <c r="Y10" s="4">
        <f t="shared" si="14"/>
        <v>0.77369244535538795</v>
      </c>
    </row>
    <row r="11" spans="1:31" x14ac:dyDescent="0.25">
      <c r="A11" s="6" t="s">
        <v>12</v>
      </c>
      <c r="B11" s="7">
        <v>0.13</v>
      </c>
      <c r="C11" s="7">
        <v>0.27</v>
      </c>
      <c r="D11" s="7">
        <v>0.84</v>
      </c>
      <c r="F11" s="5" t="s">
        <v>12</v>
      </c>
      <c r="G11" s="4">
        <f t="shared" si="0"/>
        <v>0.39690000000000003</v>
      </c>
      <c r="H11" s="4">
        <f t="shared" si="1"/>
        <v>1.2100000000000003E-2</v>
      </c>
      <c r="I11" s="4">
        <f t="shared" si="2"/>
        <v>1.5128999999999999</v>
      </c>
      <c r="J11" s="4">
        <f t="shared" si="3"/>
        <v>1.9218999999999999</v>
      </c>
      <c r="K11" s="4">
        <f t="shared" si="4"/>
        <v>1.3863260799682013</v>
      </c>
      <c r="M11" s="5" t="s">
        <v>12</v>
      </c>
      <c r="N11" s="4">
        <f t="shared" si="5"/>
        <v>0.33639999999999998</v>
      </c>
      <c r="O11" s="4">
        <f t="shared" si="6"/>
        <v>1.2099999999999998E-2</v>
      </c>
      <c r="P11" s="4">
        <f t="shared" si="7"/>
        <v>0.82809999999999984</v>
      </c>
      <c r="Q11" s="4">
        <f t="shared" si="8"/>
        <v>1.1765999999999999</v>
      </c>
      <c r="R11" s="4">
        <f t="shared" si="9"/>
        <v>1.0847119433287347</v>
      </c>
      <c r="T11" s="5" t="s">
        <v>12</v>
      </c>
      <c r="U11" s="4">
        <f t="shared" si="10"/>
        <v>0</v>
      </c>
      <c r="V11" s="4">
        <f t="shared" si="11"/>
        <v>0</v>
      </c>
      <c r="W11" s="4">
        <f t="shared" si="12"/>
        <v>0</v>
      </c>
      <c r="X11" s="4">
        <f t="shared" si="13"/>
        <v>0</v>
      </c>
      <c r="Y11" s="4">
        <f t="shared" si="14"/>
        <v>0</v>
      </c>
    </row>
    <row r="13" spans="1:31" ht="19.5" customHeight="1" thickBot="1" x14ac:dyDescent="0.35">
      <c r="A13" s="2" t="s">
        <v>13</v>
      </c>
      <c r="B13" s="2"/>
      <c r="C13" s="2"/>
      <c r="D13" s="2"/>
      <c r="G13" s="17" t="s">
        <v>22</v>
      </c>
      <c r="H13" s="17"/>
      <c r="I13" s="17"/>
      <c r="J13" s="17"/>
      <c r="K13" s="17"/>
      <c r="L13" s="17"/>
      <c r="M13" s="15"/>
      <c r="N13" s="15"/>
    </row>
    <row r="14" spans="1:31" ht="15.75" thickTop="1" x14ac:dyDescent="0.25">
      <c r="A14" s="3"/>
      <c r="B14" s="4" t="s">
        <v>1</v>
      </c>
      <c r="C14" s="4" t="s">
        <v>2</v>
      </c>
      <c r="D14" s="4" t="s">
        <v>3</v>
      </c>
      <c r="G14" s="16" t="s">
        <v>19</v>
      </c>
      <c r="H14" s="16"/>
      <c r="I14" s="16" t="s">
        <v>20</v>
      </c>
      <c r="J14" s="16"/>
      <c r="K14" s="16" t="s">
        <v>21</v>
      </c>
      <c r="L14" s="16"/>
      <c r="M14" s="15"/>
      <c r="N14" s="15"/>
    </row>
    <row r="15" spans="1:31" x14ac:dyDescent="0.25">
      <c r="A15" s="4" t="s">
        <v>19</v>
      </c>
      <c r="B15" s="30">
        <f>AVERAGE(B3:B4,B8)</f>
        <v>0.73666666666666669</v>
      </c>
      <c r="C15" s="30">
        <f t="shared" ref="C15:D15" si="15">AVERAGE(C3:C4,C8)</f>
        <v>-6.6666666666666723E-3</v>
      </c>
      <c r="D15" s="30">
        <f t="shared" si="15"/>
        <v>-0.24666666666666667</v>
      </c>
      <c r="G15" s="32" t="s">
        <v>4</v>
      </c>
      <c r="H15" s="32"/>
      <c r="I15" s="32" t="s">
        <v>8</v>
      </c>
      <c r="J15" s="32"/>
      <c r="K15" s="32" t="s">
        <v>12</v>
      </c>
      <c r="L15" s="32"/>
      <c r="M15" s="15"/>
      <c r="N15" s="15"/>
    </row>
    <row r="16" spans="1:31" x14ac:dyDescent="0.25">
      <c r="A16" s="4" t="s">
        <v>20</v>
      </c>
      <c r="B16" s="30">
        <f>AVERAGE(B5,B6,B7)</f>
        <v>0.3</v>
      </c>
      <c r="C16" s="30">
        <f t="shared" ref="C16:D16" si="16">AVERAGE(C5,C6,C7)</f>
        <v>0.36333333333333329</v>
      </c>
      <c r="D16" s="30">
        <f t="shared" si="16"/>
        <v>2.3333333333333327E-2</v>
      </c>
      <c r="G16" s="32" t="s">
        <v>5</v>
      </c>
      <c r="H16" s="32"/>
      <c r="I16" s="32" t="s">
        <v>6</v>
      </c>
      <c r="J16" s="32"/>
      <c r="K16" s="32" t="s">
        <v>10</v>
      </c>
      <c r="L16" s="32"/>
      <c r="M16" s="15"/>
      <c r="N16" s="15"/>
    </row>
    <row r="17" spans="1:25" x14ac:dyDescent="0.25">
      <c r="A17" s="4" t="s">
        <v>21</v>
      </c>
      <c r="B17" s="30">
        <f>AVERAGE(B11,B10,B9)</f>
        <v>-0.19000000000000003</v>
      </c>
      <c r="C17" s="30">
        <f t="shared" ref="C17:D17" si="17">AVERAGE(C11,C10,C9)</f>
        <v>0.13333333333333333</v>
      </c>
      <c r="D17" s="30">
        <f t="shared" si="17"/>
        <v>0.43</v>
      </c>
      <c r="G17" s="32" t="s">
        <v>9</v>
      </c>
      <c r="H17" s="32"/>
      <c r="I17" s="32" t="s">
        <v>7</v>
      </c>
      <c r="J17" s="32"/>
      <c r="K17" s="32" t="s">
        <v>11</v>
      </c>
      <c r="L17" s="32"/>
      <c r="M17" s="15"/>
      <c r="N17" s="15"/>
    </row>
    <row r="19" spans="1:25" x14ac:dyDescent="0.25">
      <c r="F19" s="21" t="s">
        <v>23</v>
      </c>
      <c r="G19" s="22"/>
      <c r="H19" s="22"/>
      <c r="I19" s="22"/>
      <c r="J19" s="22"/>
      <c r="K19" s="23"/>
      <c r="M19" s="18" t="s">
        <v>24</v>
      </c>
      <c r="N19" s="18"/>
      <c r="O19" s="18"/>
      <c r="P19" s="18"/>
      <c r="Q19" s="18"/>
      <c r="R19" s="18"/>
      <c r="T19" s="18" t="s">
        <v>25</v>
      </c>
      <c r="U19" s="18"/>
      <c r="V19" s="18"/>
      <c r="W19" s="18"/>
      <c r="X19" s="18"/>
      <c r="Y19" s="18"/>
    </row>
    <row r="20" spans="1:25" x14ac:dyDescent="0.25">
      <c r="A20" s="5" t="s">
        <v>0</v>
      </c>
      <c r="B20" s="5" t="s">
        <v>1</v>
      </c>
      <c r="C20" s="5" t="s">
        <v>2</v>
      </c>
      <c r="D20" s="5" t="s">
        <v>3</v>
      </c>
      <c r="F20" s="3" t="s">
        <v>0</v>
      </c>
      <c r="G20" s="3" t="s">
        <v>1</v>
      </c>
      <c r="H20" s="3" t="s">
        <v>2</v>
      </c>
      <c r="I20" s="3" t="s">
        <v>3</v>
      </c>
      <c r="J20" s="3" t="s">
        <v>17</v>
      </c>
      <c r="K20" s="3" t="s">
        <v>18</v>
      </c>
      <c r="M20" s="3" t="s">
        <v>0</v>
      </c>
      <c r="N20" s="3" t="s">
        <v>1</v>
      </c>
      <c r="O20" s="3" t="s">
        <v>2</v>
      </c>
      <c r="P20" s="3" t="s">
        <v>3</v>
      </c>
      <c r="Q20" s="3" t="s">
        <v>17</v>
      </c>
      <c r="R20" s="3" t="s">
        <v>18</v>
      </c>
      <c r="T20" s="3" t="s">
        <v>0</v>
      </c>
      <c r="U20" s="3" t="s">
        <v>1</v>
      </c>
      <c r="V20" s="3" t="s">
        <v>2</v>
      </c>
      <c r="W20" s="3" t="s">
        <v>3</v>
      </c>
      <c r="X20" s="3" t="s">
        <v>17</v>
      </c>
      <c r="Y20" s="3" t="s">
        <v>18</v>
      </c>
    </row>
    <row r="21" spans="1:25" x14ac:dyDescent="0.25">
      <c r="A21" s="5" t="s">
        <v>4</v>
      </c>
      <c r="B21" s="7">
        <v>0.76</v>
      </c>
      <c r="C21" s="7">
        <v>0.16</v>
      </c>
      <c r="D21" s="7">
        <v>-0.39</v>
      </c>
      <c r="F21" s="4" t="s">
        <v>4</v>
      </c>
      <c r="G21" s="4">
        <f>($B$15-B21)*($B$15-B21)</f>
        <v>5.4444444444444364E-4</v>
      </c>
      <c r="H21" s="4">
        <f>($C$15-C21)*($C$15-C21)</f>
        <v>2.7777777777777783E-2</v>
      </c>
      <c r="I21" s="4">
        <f>($D$15-D21)*($D$15-D21)</f>
        <v>2.0544444444444445E-2</v>
      </c>
      <c r="J21" s="4">
        <f>SUM(G21:I21)</f>
        <v>4.8866666666666669E-2</v>
      </c>
      <c r="K21" s="4">
        <f>SQRT(J21)</f>
        <v>0.22105806175452336</v>
      </c>
      <c r="M21" s="4" t="s">
        <v>6</v>
      </c>
      <c r="N21" s="4">
        <f>($B$16-B23)*($B$16-B23)</f>
        <v>0.10889999999999997</v>
      </c>
      <c r="O21" s="4">
        <f>($C$16-C23)*($C$16-C23)</f>
        <v>2.1511111111111127E-2</v>
      </c>
      <c r="P21" s="4">
        <f>($D$16-D23)*($D$16-D23)</f>
        <v>9.3444444444444434E-3</v>
      </c>
      <c r="Q21" s="4">
        <f>SUM(N21:P21)</f>
        <v>0.13975555555555552</v>
      </c>
      <c r="R21" s="4">
        <f>SQRT(Q21)</f>
        <v>0.37383894333730872</v>
      </c>
      <c r="T21" s="4" t="s">
        <v>10</v>
      </c>
      <c r="U21" s="4">
        <f>($B$17-B27)*($B$17-B27)</f>
        <v>9.9999999999999625E-5</v>
      </c>
      <c r="V21" s="4">
        <f>($C$17-C27)*($C$17-C27)</f>
        <v>3.3611111111111119E-2</v>
      </c>
      <c r="W21" s="4">
        <f>($D$17-D27)*($D$17-D27)</f>
        <v>0.1444</v>
      </c>
      <c r="X21" s="4">
        <f>SUM(U21:W21)</f>
        <v>0.17811111111111111</v>
      </c>
      <c r="Y21" s="4">
        <f>SQRT(X21)</f>
        <v>0.42203212094710413</v>
      </c>
    </row>
    <row r="22" spans="1:25" x14ac:dyDescent="0.25">
      <c r="A22" s="5" t="s">
        <v>5</v>
      </c>
      <c r="B22" s="7">
        <v>0.6</v>
      </c>
      <c r="C22" s="7">
        <v>0.1</v>
      </c>
      <c r="D22" s="7">
        <v>-0.38</v>
      </c>
      <c r="F22" s="27" t="s">
        <v>5</v>
      </c>
      <c r="G22" s="27">
        <f>($B$15-B22)*($B$15-B22)</f>
        <v>1.867777777777779E-2</v>
      </c>
      <c r="H22" s="27">
        <f>($C$15-C22)*($C$15-C22)</f>
        <v>1.137777777777778E-2</v>
      </c>
      <c r="I22" s="27">
        <f>($D$15-D22)*($D$15-D22)</f>
        <v>1.7777777777777778E-2</v>
      </c>
      <c r="J22" s="27">
        <f t="shared" ref="J22:J23" si="18">SUM(G22:I22)</f>
        <v>4.7833333333333353E-2</v>
      </c>
      <c r="K22" s="27">
        <f t="shared" ref="K22:K23" si="19">SQRT(J22)</f>
        <v>0.21870832936432338</v>
      </c>
      <c r="M22" s="27" t="s">
        <v>7</v>
      </c>
      <c r="N22" s="27">
        <f>($B$16-B24)*($B$16-B24)</f>
        <v>6.3999999999999977E-3</v>
      </c>
      <c r="O22" s="27">
        <f t="shared" ref="O22:O23" si="20">($C$16-C24)*($C$16-C24)</f>
        <v>2.6677777777777759E-2</v>
      </c>
      <c r="P22" s="27">
        <f t="shared" ref="P22:P23" si="21">($D$16-D24)*($D$16-D24)</f>
        <v>1.1111111111111069E-5</v>
      </c>
      <c r="Q22" s="27">
        <f t="shared" ref="Q22:Q23" si="22">SUM(N22:P22)</f>
        <v>3.3088888888888869E-2</v>
      </c>
      <c r="R22" s="27">
        <f t="shared" ref="R22:R23" si="23">SQRT(Q22)</f>
        <v>0.1819035153285633</v>
      </c>
      <c r="T22" s="27" t="s">
        <v>11</v>
      </c>
      <c r="U22" s="27">
        <f t="shared" ref="U22:U23" si="24">($B$17-B28)*($B$17-B28)</f>
        <v>9.6099999999999963E-2</v>
      </c>
      <c r="V22" s="27">
        <f t="shared" ref="V22:V23" si="25">($C$17-C28)*($C$17-C28)</f>
        <v>2.1777777777777772E-3</v>
      </c>
      <c r="W22" s="27">
        <f t="shared" ref="W22:W23" si="26">($D$17-D28)*($D$17-D28)</f>
        <v>8.9999999999999824E-4</v>
      </c>
      <c r="X22" s="27">
        <f t="shared" ref="X22:X23" si="27">SUM(U22:W22)</f>
        <v>9.917777777777774E-2</v>
      </c>
      <c r="Y22" s="27">
        <f t="shared" ref="Y22:Y23" si="28">SQRT(X22)</f>
        <v>0.31492503517151149</v>
      </c>
    </row>
    <row r="23" spans="1:25" x14ac:dyDescent="0.25">
      <c r="A23" s="5" t="s">
        <v>6</v>
      </c>
      <c r="B23" s="7">
        <v>-0.03</v>
      </c>
      <c r="C23" s="7">
        <v>0.51</v>
      </c>
      <c r="D23" s="7">
        <v>0.12</v>
      </c>
      <c r="F23" s="19" t="s">
        <v>9</v>
      </c>
      <c r="G23" s="4">
        <f>($B$15-B26)*($B$15-B26)</f>
        <v>1.2844444444444434E-2</v>
      </c>
      <c r="H23" s="4">
        <f>($C$15-C26)*($C$15-C26)</f>
        <v>7.4711111111111131E-2</v>
      </c>
      <c r="I23" s="4">
        <f>($D$15-D26)*($D$15-D26)</f>
        <v>7.6544444444444443E-2</v>
      </c>
      <c r="J23" s="4">
        <f t="shared" si="18"/>
        <v>0.16410000000000002</v>
      </c>
      <c r="K23" s="4">
        <f t="shared" si="19"/>
        <v>0.4050925820105819</v>
      </c>
      <c r="M23" s="19" t="s">
        <v>8</v>
      </c>
      <c r="N23" s="4">
        <f t="shared" ref="N22:N23" si="29">($B$16-B25)*($B$16-B25)</f>
        <v>0.16809999999999997</v>
      </c>
      <c r="O23" s="4">
        <f t="shared" si="20"/>
        <v>2.7777777777777951E-4</v>
      </c>
      <c r="P23" s="4">
        <f t="shared" si="21"/>
        <v>8.7111111111111122E-3</v>
      </c>
      <c r="Q23" s="4">
        <f t="shared" si="22"/>
        <v>0.17708888888888885</v>
      </c>
      <c r="R23" s="4">
        <f t="shared" si="23"/>
        <v>0.42081930669693479</v>
      </c>
      <c r="T23" s="19" t="s">
        <v>12</v>
      </c>
      <c r="U23" s="4">
        <f t="shared" si="24"/>
        <v>0.10240000000000005</v>
      </c>
      <c r="V23" s="4">
        <f t="shared" si="25"/>
        <v>1.8677777777777783E-2</v>
      </c>
      <c r="W23" s="4">
        <f t="shared" si="26"/>
        <v>0.16809999999999997</v>
      </c>
      <c r="X23" s="4">
        <f t="shared" si="27"/>
        <v>0.28917777777777781</v>
      </c>
      <c r="Y23" s="4">
        <f t="shared" si="28"/>
        <v>0.53775252465960377</v>
      </c>
    </row>
    <row r="24" spans="1:25" x14ac:dyDescent="0.25">
      <c r="A24" s="5" t="s">
        <v>7</v>
      </c>
      <c r="B24" s="7">
        <v>0.22</v>
      </c>
      <c r="C24" s="7">
        <v>0.2</v>
      </c>
      <c r="D24" s="7">
        <v>0.02</v>
      </c>
    </row>
    <row r="25" spans="1:25" x14ac:dyDescent="0.25">
      <c r="A25" s="5" t="s">
        <v>8</v>
      </c>
      <c r="B25" s="7">
        <v>0.71</v>
      </c>
      <c r="C25" s="7">
        <v>0.38</v>
      </c>
      <c r="D25" s="7">
        <v>-7.0000000000000007E-2</v>
      </c>
      <c r="F25" s="25" t="s">
        <v>26</v>
      </c>
      <c r="G25" s="25"/>
      <c r="H25" s="25"/>
      <c r="I25" s="25"/>
      <c r="J25" s="25"/>
      <c r="K25" s="25"/>
      <c r="M25" s="25" t="s">
        <v>27</v>
      </c>
      <c r="N25" s="25"/>
      <c r="O25" s="25"/>
      <c r="P25" s="25"/>
      <c r="Q25" s="25"/>
      <c r="R25" s="25"/>
      <c r="T25" s="25" t="s">
        <v>28</v>
      </c>
      <c r="U25" s="25"/>
      <c r="V25" s="25"/>
      <c r="W25" s="25"/>
      <c r="X25" s="25"/>
      <c r="Y25" s="25"/>
    </row>
    <row r="26" spans="1:25" x14ac:dyDescent="0.25">
      <c r="A26" s="5" t="s">
        <v>9</v>
      </c>
      <c r="B26" s="7">
        <v>0.85</v>
      </c>
      <c r="C26" s="7">
        <v>-0.28000000000000003</v>
      </c>
      <c r="D26" s="7">
        <v>0.03</v>
      </c>
      <c r="F26" s="5" t="s">
        <v>0</v>
      </c>
      <c r="G26" s="5" t="s">
        <v>1</v>
      </c>
      <c r="H26" s="5" t="s">
        <v>2</v>
      </c>
      <c r="I26" s="5" t="s">
        <v>3</v>
      </c>
      <c r="J26" s="3" t="s">
        <v>17</v>
      </c>
      <c r="K26" s="3" t="s">
        <v>18</v>
      </c>
      <c r="M26" s="5" t="s">
        <v>0</v>
      </c>
      <c r="N26" s="5" t="s">
        <v>1</v>
      </c>
      <c r="O26" s="5" t="s">
        <v>2</v>
      </c>
      <c r="P26" s="5" t="s">
        <v>3</v>
      </c>
      <c r="Q26" s="3" t="s">
        <v>17</v>
      </c>
      <c r="R26" s="3" t="s">
        <v>18</v>
      </c>
      <c r="T26" s="5" t="s">
        <v>0</v>
      </c>
      <c r="U26" s="5" t="s">
        <v>1</v>
      </c>
      <c r="V26" s="5" t="s">
        <v>2</v>
      </c>
      <c r="W26" s="5" t="s">
        <v>3</v>
      </c>
      <c r="X26" s="3" t="s">
        <v>17</v>
      </c>
      <c r="Y26" s="3" t="s">
        <v>18</v>
      </c>
    </row>
    <row r="27" spans="1:25" x14ac:dyDescent="0.25">
      <c r="A27" s="5" t="s">
        <v>10</v>
      </c>
      <c r="B27" s="7">
        <v>-0.2</v>
      </c>
      <c r="C27" s="7">
        <v>-0.05</v>
      </c>
      <c r="D27" s="7">
        <v>0.05</v>
      </c>
      <c r="F27" s="5" t="s">
        <v>4</v>
      </c>
      <c r="G27" s="7">
        <f>($B$4-B3)*($B$4-B3)</f>
        <v>2.5600000000000012E-2</v>
      </c>
      <c r="H27" s="7">
        <f>($C$4-C3)*($C$4-C3)</f>
        <v>3.5999999999999999E-3</v>
      </c>
      <c r="I27" s="7">
        <f>($D$4-D3)*($D$4-D3)</f>
        <v>1.0000000000000018E-4</v>
      </c>
      <c r="J27" s="4">
        <f>SUM(G27:I27)</f>
        <v>2.930000000000001E-2</v>
      </c>
      <c r="K27" s="4">
        <f>SQRT(J27)</f>
        <v>0.17117242768623692</v>
      </c>
      <c r="M27" s="5" t="s">
        <v>4</v>
      </c>
      <c r="N27" s="7">
        <f>($B$6-B3)*($B$6-B3)</f>
        <v>0.29160000000000003</v>
      </c>
      <c r="O27" s="7">
        <f>($C$6-C3)*($C$6-C3)</f>
        <v>1.6000000000000007E-3</v>
      </c>
      <c r="P27" s="7">
        <f>($D$6-D3)*($D$6-D3)</f>
        <v>0.16810000000000003</v>
      </c>
      <c r="Q27" s="4">
        <f>SUM(N27:P27)</f>
        <v>0.46130000000000004</v>
      </c>
      <c r="R27" s="4">
        <f>SQRT(Q27)</f>
        <v>0.67919069487147721</v>
      </c>
      <c r="T27" s="5" t="s">
        <v>4</v>
      </c>
      <c r="U27" s="7">
        <f>($B$10-B3)*($B$10-B3)</f>
        <v>1.5876000000000001</v>
      </c>
      <c r="V27" s="7">
        <f>($C$10-C3)*($C$10-C3)</f>
        <v>3.9999999999999959E-4</v>
      </c>
      <c r="W27" s="7">
        <f>($D$10-D3)*($D$10-D3)</f>
        <v>0.6241000000000001</v>
      </c>
      <c r="X27" s="4">
        <f>SUM(U27:W27)</f>
        <v>2.2121000000000004</v>
      </c>
      <c r="Y27" s="4">
        <f>SQRT(X27)</f>
        <v>1.4873130134574901</v>
      </c>
    </row>
    <row r="28" spans="1:25" x14ac:dyDescent="0.25">
      <c r="A28" s="5" t="s">
        <v>11</v>
      </c>
      <c r="B28" s="7">
        <v>-0.5</v>
      </c>
      <c r="C28" s="7">
        <v>0.18</v>
      </c>
      <c r="D28" s="7">
        <v>0.4</v>
      </c>
      <c r="F28" s="5" t="s">
        <v>5</v>
      </c>
      <c r="G28" s="7">
        <f t="shared" ref="G28:G35" si="30">($B$4-B4)*($B$4-B4)</f>
        <v>0</v>
      </c>
      <c r="H28" s="7">
        <f t="shared" ref="H28:H35" si="31">($C$4-C4)*($C$4-C4)</f>
        <v>0</v>
      </c>
      <c r="I28" s="7">
        <f t="shared" ref="I28:I35" si="32">($D$4-D4)*($D$4-D4)</f>
        <v>0</v>
      </c>
      <c r="J28" s="4">
        <f t="shared" ref="J28:J35" si="33">SUM(G28:I28)</f>
        <v>0</v>
      </c>
      <c r="K28" s="4">
        <f t="shared" ref="K28:K35" si="34">SQRT(J28)</f>
        <v>0</v>
      </c>
      <c r="M28" s="5" t="s">
        <v>5</v>
      </c>
      <c r="N28" s="7">
        <f t="shared" ref="N28:N35" si="35">($B$6-B4)*($B$6-B4)</f>
        <v>0.1444</v>
      </c>
      <c r="O28" s="7">
        <f t="shared" ref="O28:O35" si="36">($C$6-C4)*($C$6-C4)</f>
        <v>1.0000000000000002E-2</v>
      </c>
      <c r="P28" s="7">
        <f t="shared" ref="P28:P35" si="37">($D$6-D4)*($D$6-D4)</f>
        <v>0.16000000000000003</v>
      </c>
      <c r="Q28" s="4">
        <f t="shared" ref="Q28:Q35" si="38">SUM(N28:P28)</f>
        <v>0.31440000000000001</v>
      </c>
      <c r="R28" s="4">
        <f t="shared" ref="R28:R35" si="39">SQRT(Q28)</f>
        <v>0.56071383075504744</v>
      </c>
      <c r="T28" s="5" t="s">
        <v>5</v>
      </c>
      <c r="U28" s="7">
        <f t="shared" ref="U28:U35" si="40">($B$10-B4)*($B$10-B4)</f>
        <v>1.2100000000000002</v>
      </c>
      <c r="V28" s="7">
        <f t="shared" ref="V28:V35" si="41">($C$10-C4)*($C$10-C4)</f>
        <v>6.3999999999999977E-3</v>
      </c>
      <c r="W28" s="7">
        <f t="shared" ref="W28:W35" si="42">($D$10-D4)*($D$10-D4)</f>
        <v>0.60840000000000005</v>
      </c>
      <c r="X28" s="4">
        <f t="shared" ref="X28:X35" si="43">SUM(U28:W28)</f>
        <v>1.8248000000000002</v>
      </c>
      <c r="Y28" s="4">
        <f t="shared" ref="Y28:Y35" si="44">SQRT(X28)</f>
        <v>1.3508515832614625</v>
      </c>
    </row>
    <row r="29" spans="1:25" x14ac:dyDescent="0.25">
      <c r="A29" s="5" t="s">
        <v>12</v>
      </c>
      <c r="B29" s="7">
        <v>0.13</v>
      </c>
      <c r="C29" s="7">
        <v>0.27</v>
      </c>
      <c r="D29" s="7">
        <v>0.84</v>
      </c>
      <c r="F29" s="5" t="s">
        <v>6</v>
      </c>
      <c r="G29" s="7">
        <f t="shared" si="30"/>
        <v>0.39690000000000003</v>
      </c>
      <c r="H29" s="7">
        <f t="shared" si="31"/>
        <v>0.16810000000000003</v>
      </c>
      <c r="I29" s="7">
        <f t="shared" si="32"/>
        <v>0.25</v>
      </c>
      <c r="J29" s="4">
        <f t="shared" si="33"/>
        <v>0.81500000000000006</v>
      </c>
      <c r="K29" s="4">
        <f t="shared" si="34"/>
        <v>0.90277350426338943</v>
      </c>
      <c r="M29" s="5" t="s">
        <v>6</v>
      </c>
      <c r="N29" s="7">
        <f t="shared" si="35"/>
        <v>6.25E-2</v>
      </c>
      <c r="O29" s="7">
        <f t="shared" si="36"/>
        <v>9.6100000000000005E-2</v>
      </c>
      <c r="P29" s="7">
        <f t="shared" si="37"/>
        <v>9.9999999999999985E-3</v>
      </c>
      <c r="Q29" s="4">
        <f t="shared" si="38"/>
        <v>0.16860000000000003</v>
      </c>
      <c r="R29" s="4">
        <f t="shared" si="39"/>
        <v>0.4106093033529562</v>
      </c>
      <c r="T29" s="5" t="s">
        <v>6</v>
      </c>
      <c r="U29" s="7">
        <f t="shared" si="40"/>
        <v>0.22089999999999999</v>
      </c>
      <c r="V29" s="7">
        <f t="shared" si="41"/>
        <v>0.10890000000000001</v>
      </c>
      <c r="W29" s="7">
        <f t="shared" si="42"/>
        <v>7.8400000000000011E-2</v>
      </c>
      <c r="X29" s="4">
        <f t="shared" si="43"/>
        <v>0.40820000000000001</v>
      </c>
      <c r="Y29" s="4">
        <f t="shared" si="44"/>
        <v>0.63890531379853155</v>
      </c>
    </row>
    <row r="30" spans="1:25" x14ac:dyDescent="0.25">
      <c r="F30" s="5" t="s">
        <v>7</v>
      </c>
      <c r="G30" s="7">
        <f t="shared" si="30"/>
        <v>0.1444</v>
      </c>
      <c r="H30" s="7">
        <f t="shared" si="31"/>
        <v>1.0000000000000002E-2</v>
      </c>
      <c r="I30" s="7">
        <f t="shared" si="32"/>
        <v>0.16000000000000003</v>
      </c>
      <c r="J30" s="4">
        <f t="shared" si="33"/>
        <v>0.31440000000000001</v>
      </c>
      <c r="K30" s="4">
        <f t="shared" si="34"/>
        <v>0.56071383075504744</v>
      </c>
      <c r="M30" s="5" t="s">
        <v>7</v>
      </c>
      <c r="N30" s="7">
        <f t="shared" si="35"/>
        <v>0</v>
      </c>
      <c r="O30" s="7">
        <f t="shared" si="36"/>
        <v>0</v>
      </c>
      <c r="P30" s="7">
        <f t="shared" si="37"/>
        <v>0</v>
      </c>
      <c r="Q30" s="4">
        <f t="shared" si="38"/>
        <v>0</v>
      </c>
      <c r="R30" s="4">
        <f t="shared" si="39"/>
        <v>0</v>
      </c>
      <c r="T30" s="5" t="s">
        <v>7</v>
      </c>
      <c r="U30" s="7">
        <f t="shared" si="40"/>
        <v>0.51839999999999997</v>
      </c>
      <c r="V30" s="7">
        <f t="shared" si="41"/>
        <v>4.0000000000000072E-4</v>
      </c>
      <c r="W30" s="7">
        <f t="shared" si="42"/>
        <v>0.1444</v>
      </c>
      <c r="X30" s="4">
        <f t="shared" si="43"/>
        <v>0.6631999999999999</v>
      </c>
      <c r="Y30" s="4">
        <f t="shared" si="44"/>
        <v>0.81437092286009327</v>
      </c>
    </row>
    <row r="31" spans="1:25" x14ac:dyDescent="0.25">
      <c r="F31" s="5" t="s">
        <v>8</v>
      </c>
      <c r="G31" s="7">
        <f t="shared" si="30"/>
        <v>1.2099999999999998E-2</v>
      </c>
      <c r="H31" s="7">
        <f t="shared" si="31"/>
        <v>7.8400000000000011E-2</v>
      </c>
      <c r="I31" s="7">
        <f t="shared" si="32"/>
        <v>9.6100000000000005E-2</v>
      </c>
      <c r="J31" s="4">
        <f t="shared" si="33"/>
        <v>0.18660000000000002</v>
      </c>
      <c r="K31" s="4">
        <f t="shared" si="34"/>
        <v>0.43197222132910357</v>
      </c>
      <c r="M31" s="5" t="s">
        <v>8</v>
      </c>
      <c r="N31" s="7">
        <f t="shared" si="35"/>
        <v>0.24009999999999998</v>
      </c>
      <c r="O31" s="7">
        <f t="shared" si="36"/>
        <v>3.2399999999999998E-2</v>
      </c>
      <c r="P31" s="7">
        <f t="shared" si="37"/>
        <v>8.1000000000000013E-3</v>
      </c>
      <c r="Q31" s="4">
        <f t="shared" si="38"/>
        <v>0.28059999999999996</v>
      </c>
      <c r="R31" s="4">
        <f t="shared" si="39"/>
        <v>0.52971690552596107</v>
      </c>
      <c r="T31" s="5" t="s">
        <v>8</v>
      </c>
      <c r="U31" s="7">
        <f t="shared" si="40"/>
        <v>1.4641</v>
      </c>
      <c r="V31" s="7">
        <f t="shared" si="41"/>
        <v>4.0000000000000008E-2</v>
      </c>
      <c r="W31" s="7">
        <f t="shared" si="42"/>
        <v>0.22090000000000004</v>
      </c>
      <c r="X31" s="4">
        <f t="shared" si="43"/>
        <v>1.7250000000000001</v>
      </c>
      <c r="Y31" s="4">
        <f t="shared" si="44"/>
        <v>1.3133925536563698</v>
      </c>
    </row>
    <row r="32" spans="1:25" x14ac:dyDescent="0.25">
      <c r="F32" s="5" t="s">
        <v>9</v>
      </c>
      <c r="G32" s="7">
        <f t="shared" si="30"/>
        <v>6.25E-2</v>
      </c>
      <c r="H32" s="7">
        <f t="shared" si="31"/>
        <v>0.1444</v>
      </c>
      <c r="I32" s="7">
        <f t="shared" si="32"/>
        <v>0.16810000000000003</v>
      </c>
      <c r="J32" s="4">
        <f t="shared" si="33"/>
        <v>0.375</v>
      </c>
      <c r="K32" s="4">
        <f t="shared" si="34"/>
        <v>0.61237243569579447</v>
      </c>
      <c r="M32" s="5" t="s">
        <v>9</v>
      </c>
      <c r="N32" s="7">
        <f t="shared" si="35"/>
        <v>0.39690000000000003</v>
      </c>
      <c r="O32" s="7">
        <f t="shared" si="36"/>
        <v>0.23040000000000005</v>
      </c>
      <c r="P32" s="7">
        <f t="shared" si="37"/>
        <v>9.9999999999999964E-5</v>
      </c>
      <c r="Q32" s="4">
        <f t="shared" si="38"/>
        <v>0.62740000000000007</v>
      </c>
      <c r="R32" s="4">
        <f t="shared" si="39"/>
        <v>0.79208585393251407</v>
      </c>
      <c r="T32" s="5" t="s">
        <v>9</v>
      </c>
      <c r="U32" s="7">
        <f t="shared" si="40"/>
        <v>1.8225000000000002</v>
      </c>
      <c r="V32" s="7">
        <f t="shared" si="41"/>
        <v>0.21160000000000001</v>
      </c>
      <c r="W32" s="7">
        <f t="shared" si="42"/>
        <v>0.13689999999999999</v>
      </c>
      <c r="X32" s="4">
        <f t="shared" si="43"/>
        <v>2.1710000000000003</v>
      </c>
      <c r="Y32" s="4">
        <f t="shared" si="44"/>
        <v>1.4734313692873517</v>
      </c>
    </row>
    <row r="33" spans="1:25" x14ac:dyDescent="0.25">
      <c r="F33" s="5" t="s">
        <v>10</v>
      </c>
      <c r="G33" s="7">
        <f t="shared" si="30"/>
        <v>0.64000000000000012</v>
      </c>
      <c r="H33" s="7">
        <f t="shared" si="31"/>
        <v>2.2500000000000006E-2</v>
      </c>
      <c r="I33" s="7">
        <f t="shared" si="32"/>
        <v>0.18489999999999998</v>
      </c>
      <c r="J33" s="4">
        <f t="shared" si="33"/>
        <v>0.84740000000000004</v>
      </c>
      <c r="K33" s="4">
        <f t="shared" si="34"/>
        <v>0.92054331782920462</v>
      </c>
      <c r="M33" s="5" t="s">
        <v>10</v>
      </c>
      <c r="N33" s="7">
        <f t="shared" si="35"/>
        <v>0.17640000000000003</v>
      </c>
      <c r="O33" s="7">
        <f t="shared" si="36"/>
        <v>6.25E-2</v>
      </c>
      <c r="P33" s="7">
        <f t="shared" si="37"/>
        <v>9.0000000000000019E-4</v>
      </c>
      <c r="Q33" s="4">
        <f t="shared" si="38"/>
        <v>0.23980000000000004</v>
      </c>
      <c r="R33" s="4">
        <f t="shared" si="39"/>
        <v>0.48969378186781182</v>
      </c>
      <c r="T33" s="5" t="s">
        <v>10</v>
      </c>
      <c r="U33" s="7">
        <f t="shared" si="40"/>
        <v>0.09</v>
      </c>
      <c r="V33" s="7">
        <f t="shared" si="41"/>
        <v>5.2899999999999989E-2</v>
      </c>
      <c r="W33" s="7">
        <f t="shared" si="42"/>
        <v>0.12250000000000003</v>
      </c>
      <c r="X33" s="4">
        <f t="shared" si="43"/>
        <v>0.26539999999999997</v>
      </c>
      <c r="Y33" s="4">
        <f t="shared" si="44"/>
        <v>0.51516987489565025</v>
      </c>
    </row>
    <row r="34" spans="1:25" x14ac:dyDescent="0.25">
      <c r="F34" s="5" t="s">
        <v>11</v>
      </c>
      <c r="G34" s="7">
        <f t="shared" si="30"/>
        <v>1.2100000000000002</v>
      </c>
      <c r="H34" s="7">
        <f t="shared" si="31"/>
        <v>6.3999999999999977E-3</v>
      </c>
      <c r="I34" s="7">
        <f t="shared" si="32"/>
        <v>0.60840000000000005</v>
      </c>
      <c r="J34" s="4">
        <f t="shared" si="33"/>
        <v>1.8248000000000002</v>
      </c>
      <c r="K34" s="4">
        <f t="shared" si="34"/>
        <v>1.3508515832614625</v>
      </c>
      <c r="M34" s="5" t="s">
        <v>11</v>
      </c>
      <c r="N34" s="7">
        <f t="shared" si="35"/>
        <v>0.51839999999999997</v>
      </c>
      <c r="O34" s="7">
        <f t="shared" si="36"/>
        <v>4.0000000000000072E-4</v>
      </c>
      <c r="P34" s="7">
        <f t="shared" si="37"/>
        <v>0.1444</v>
      </c>
      <c r="Q34" s="4">
        <f t="shared" si="38"/>
        <v>0.6631999999999999</v>
      </c>
      <c r="R34" s="4">
        <f t="shared" si="39"/>
        <v>0.81437092286009327</v>
      </c>
      <c r="T34" s="5" t="s">
        <v>11</v>
      </c>
      <c r="U34" s="7">
        <f t="shared" si="40"/>
        <v>0</v>
      </c>
      <c r="V34" s="7">
        <f t="shared" si="41"/>
        <v>0</v>
      </c>
      <c r="W34" s="7">
        <f t="shared" si="42"/>
        <v>0</v>
      </c>
      <c r="X34" s="4">
        <f t="shared" si="43"/>
        <v>0</v>
      </c>
      <c r="Y34" s="4">
        <f t="shared" si="44"/>
        <v>0</v>
      </c>
    </row>
    <row r="35" spans="1:25" x14ac:dyDescent="0.25">
      <c r="F35" s="5" t="s">
        <v>12</v>
      </c>
      <c r="G35" s="7">
        <f t="shared" si="30"/>
        <v>0.22089999999999999</v>
      </c>
      <c r="H35" s="7">
        <f t="shared" si="31"/>
        <v>2.8900000000000006E-2</v>
      </c>
      <c r="I35" s="7">
        <f t="shared" si="32"/>
        <v>1.4883999999999999</v>
      </c>
      <c r="J35" s="4">
        <f t="shared" si="33"/>
        <v>1.7382</v>
      </c>
      <c r="K35" s="4">
        <f t="shared" si="34"/>
        <v>1.3184081310428877</v>
      </c>
      <c r="M35" s="5" t="s">
        <v>12</v>
      </c>
      <c r="N35" s="7">
        <f t="shared" si="35"/>
        <v>8.0999999999999996E-3</v>
      </c>
      <c r="O35" s="7">
        <f t="shared" si="36"/>
        <v>4.9000000000000007E-3</v>
      </c>
      <c r="P35" s="7">
        <f t="shared" si="37"/>
        <v>0.67239999999999989</v>
      </c>
      <c r="Q35" s="4">
        <f t="shared" si="38"/>
        <v>0.6853999999999999</v>
      </c>
      <c r="R35" s="4">
        <f t="shared" si="39"/>
        <v>0.82788888143276806</v>
      </c>
      <c r="T35" s="5" t="s">
        <v>12</v>
      </c>
      <c r="U35" s="7">
        <f t="shared" si="40"/>
        <v>0.39690000000000003</v>
      </c>
      <c r="V35" s="7">
        <f t="shared" si="41"/>
        <v>8.1000000000000048E-3</v>
      </c>
      <c r="W35" s="7">
        <f t="shared" si="42"/>
        <v>0.19359999999999997</v>
      </c>
      <c r="X35" s="4">
        <f t="shared" si="43"/>
        <v>0.59860000000000002</v>
      </c>
      <c r="Y35" s="4">
        <f t="shared" si="44"/>
        <v>0.77369244535538795</v>
      </c>
    </row>
    <row r="36" spans="1:25" ht="20.25" thickBot="1" x14ac:dyDescent="0.35">
      <c r="A36" s="17" t="s">
        <v>30</v>
      </c>
      <c r="B36" s="17"/>
      <c r="C36" s="17"/>
      <c r="D36" s="17"/>
    </row>
    <row r="37" spans="1:25" ht="15.75" thickTop="1" x14ac:dyDescent="0.25">
      <c r="A37" s="31" t="s">
        <v>29</v>
      </c>
      <c r="B37" s="31"/>
      <c r="C37" s="31"/>
      <c r="D37" s="31"/>
      <c r="G37" s="31" t="s">
        <v>29</v>
      </c>
      <c r="H37" s="31"/>
      <c r="I37" s="31"/>
    </row>
    <row r="38" spans="1:25" x14ac:dyDescent="0.25">
      <c r="A38" s="4"/>
      <c r="B38" s="4" t="s">
        <v>1</v>
      </c>
      <c r="C38" s="4" t="s">
        <v>2</v>
      </c>
      <c r="D38" s="4" t="s">
        <v>3</v>
      </c>
      <c r="G38" s="4" t="s">
        <v>19</v>
      </c>
      <c r="H38" s="4" t="s">
        <v>20</v>
      </c>
      <c r="I38" s="4" t="s">
        <v>21</v>
      </c>
    </row>
    <row r="39" spans="1:25" x14ac:dyDescent="0.25">
      <c r="A39" s="4" t="s">
        <v>19</v>
      </c>
      <c r="B39" s="4">
        <f>AVERAGE(B3,B4,B7,B8)</f>
        <v>0.73</v>
      </c>
      <c r="C39" s="4">
        <f t="shared" ref="C39:D39" si="45">AVERAGE(C3,C4,C7,C8)</f>
        <v>0.09</v>
      </c>
      <c r="D39" s="4">
        <f t="shared" si="45"/>
        <v>-0.20250000000000001</v>
      </c>
      <c r="G39" s="4" t="s">
        <v>4</v>
      </c>
      <c r="H39" s="4" t="s">
        <v>6</v>
      </c>
      <c r="I39" s="4" t="s">
        <v>11</v>
      </c>
    </row>
    <row r="40" spans="1:25" x14ac:dyDescent="0.25">
      <c r="A40" s="4" t="s">
        <v>20</v>
      </c>
      <c r="B40" s="4">
        <f>AVERAGE(B5,B6,B9)</f>
        <v>-3.3333333333333361E-3</v>
      </c>
      <c r="C40" s="4">
        <f t="shared" ref="C40:D40" si="46">AVERAGE(C5,C6,C9)</f>
        <v>0.21999999999999997</v>
      </c>
      <c r="D40" s="4">
        <f t="shared" si="46"/>
        <v>6.3333333333333339E-2</v>
      </c>
      <c r="G40" s="4" t="s">
        <v>5</v>
      </c>
      <c r="H40" s="4" t="s">
        <v>7</v>
      </c>
      <c r="I40" s="4" t="s">
        <v>12</v>
      </c>
    </row>
    <row r="41" spans="1:25" x14ac:dyDescent="0.25">
      <c r="A41" s="4" t="s">
        <v>21</v>
      </c>
      <c r="B41" s="4">
        <f>AVERAGE(B10,B11)</f>
        <v>-0.185</v>
      </c>
      <c r="C41" s="4">
        <f t="shared" ref="C41:D41" si="47">AVERAGE(C10,C11)</f>
        <v>0.22500000000000001</v>
      </c>
      <c r="D41" s="4">
        <f t="shared" si="47"/>
        <v>0.62</v>
      </c>
      <c r="G41" s="4" t="s">
        <v>8</v>
      </c>
      <c r="H41" s="4" t="s">
        <v>10</v>
      </c>
      <c r="I41" s="4"/>
    </row>
    <row r="42" spans="1:25" x14ac:dyDescent="0.25">
      <c r="G42" s="4" t="s">
        <v>9</v>
      </c>
      <c r="H42" s="4"/>
      <c r="I42" s="4"/>
    </row>
    <row r="43" spans="1:25" x14ac:dyDescent="0.25">
      <c r="D43" s="28"/>
    </row>
    <row r="44" spans="1:25" ht="20.25" thickBot="1" x14ac:dyDescent="0.35">
      <c r="A44" s="19" t="s">
        <v>31</v>
      </c>
      <c r="B44" s="4" t="s">
        <v>32</v>
      </c>
      <c r="C44" s="14"/>
      <c r="D44" s="20"/>
      <c r="E44" s="4"/>
      <c r="J44" s="29" t="s">
        <v>33</v>
      </c>
      <c r="K44" s="29"/>
      <c r="M44" s="17" t="s">
        <v>40</v>
      </c>
      <c r="N44" s="17"/>
      <c r="O44" s="17"/>
      <c r="Q44" s="26" t="s">
        <v>39</v>
      </c>
    </row>
    <row r="45" spans="1:25" ht="15.75" thickTop="1" x14ac:dyDescent="0.25">
      <c r="A45" s="4">
        <v>9</v>
      </c>
      <c r="B45" s="4">
        <v>5</v>
      </c>
      <c r="C45" s="4">
        <f>(A45-B45)^2</f>
        <v>16</v>
      </c>
      <c r="D45" s="4">
        <f>(A45*B45)</f>
        <v>45</v>
      </c>
      <c r="E45" s="4">
        <f>ABS(A45-B45)</f>
        <v>4</v>
      </c>
      <c r="J45" s="24" t="s">
        <v>34</v>
      </c>
      <c r="K45" s="24"/>
      <c r="M45" s="13" t="s">
        <v>37</v>
      </c>
      <c r="N45" s="13"/>
      <c r="O45" s="13"/>
      <c r="Q45" s="1" t="s">
        <v>38</v>
      </c>
    </row>
    <row r="46" spans="1:25" x14ac:dyDescent="0.25">
      <c r="A46" s="4">
        <v>8</v>
      </c>
      <c r="B46" s="4">
        <v>8</v>
      </c>
      <c r="C46" s="4">
        <f t="shared" ref="C46:C54" si="48">(A46-B46)^2</f>
        <v>0</v>
      </c>
      <c r="D46" s="4">
        <f t="shared" ref="D46:D54" si="49">(A46*B46)</f>
        <v>64</v>
      </c>
      <c r="E46" s="4">
        <f>ABS(A46-B46)</f>
        <v>0</v>
      </c>
      <c r="J46" s="4" t="s">
        <v>35</v>
      </c>
      <c r="K46" s="19" t="s">
        <v>36</v>
      </c>
      <c r="M46" s="4" t="s">
        <v>42</v>
      </c>
      <c r="N46" s="19" t="s">
        <v>49</v>
      </c>
      <c r="O46" s="19" t="s">
        <v>50</v>
      </c>
      <c r="Q46" s="4" t="s">
        <v>41</v>
      </c>
    </row>
    <row r="47" spans="1:25" x14ac:dyDescent="0.25">
      <c r="A47" s="4">
        <v>3</v>
      </c>
      <c r="B47" s="4">
        <v>2</v>
      </c>
      <c r="C47" s="4">
        <f t="shared" si="48"/>
        <v>1</v>
      </c>
      <c r="D47" s="4">
        <f t="shared" si="49"/>
        <v>6</v>
      </c>
      <c r="E47" s="4">
        <f>ABS(A47-B47)</f>
        <v>1</v>
      </c>
      <c r="J47" s="4">
        <f>SUM(C45:C54)</f>
        <v>165</v>
      </c>
      <c r="K47" s="30">
        <f>SQRT(J47)</f>
        <v>12.845232578665129</v>
      </c>
      <c r="M47" s="4">
        <f>SUM(D45:D54)</f>
        <v>258</v>
      </c>
      <c r="N47" s="4">
        <f>C58*D58</f>
        <v>306.41148803528893</v>
      </c>
      <c r="O47" s="30">
        <f>M47/N47</f>
        <v>0.84200498373705412</v>
      </c>
      <c r="Q47" s="30">
        <f>SUM(E45:E54)</f>
        <v>33</v>
      </c>
    </row>
    <row r="48" spans="1:25" x14ac:dyDescent="0.25">
      <c r="A48" s="4">
        <v>10</v>
      </c>
      <c r="B48" s="4">
        <v>1</v>
      </c>
      <c r="C48" s="4">
        <f t="shared" si="48"/>
        <v>81</v>
      </c>
      <c r="D48" s="4">
        <f t="shared" si="49"/>
        <v>10</v>
      </c>
      <c r="E48" s="4">
        <f>ABS(A48-B48)</f>
        <v>9</v>
      </c>
    </row>
    <row r="49" spans="1:5" x14ac:dyDescent="0.25">
      <c r="A49" s="4">
        <v>10</v>
      </c>
      <c r="B49" s="4">
        <v>6</v>
      </c>
      <c r="C49" s="4">
        <f t="shared" si="48"/>
        <v>16</v>
      </c>
      <c r="D49" s="4">
        <f t="shared" si="49"/>
        <v>60</v>
      </c>
      <c r="E49" s="4">
        <f>ABS(A49-B49)</f>
        <v>4</v>
      </c>
    </row>
    <row r="50" spans="1:5" x14ac:dyDescent="0.25">
      <c r="A50" s="4">
        <v>5</v>
      </c>
      <c r="B50" s="4">
        <v>2</v>
      </c>
      <c r="C50" s="4">
        <f t="shared" si="48"/>
        <v>9</v>
      </c>
      <c r="D50" s="4">
        <f t="shared" si="49"/>
        <v>10</v>
      </c>
      <c r="E50" s="4">
        <f>ABS(A50-B50)</f>
        <v>3</v>
      </c>
    </row>
    <row r="51" spans="1:5" x14ac:dyDescent="0.25">
      <c r="A51" s="4">
        <v>6</v>
      </c>
      <c r="B51" s="4">
        <v>7</v>
      </c>
      <c r="C51" s="4">
        <f t="shared" si="48"/>
        <v>1</v>
      </c>
      <c r="D51" s="4">
        <f t="shared" si="49"/>
        <v>42</v>
      </c>
      <c r="E51" s="4">
        <f>ABS(A51-B51)</f>
        <v>1</v>
      </c>
    </row>
    <row r="52" spans="1:5" x14ac:dyDescent="0.25">
      <c r="A52" s="4">
        <v>4</v>
      </c>
      <c r="B52" s="4">
        <v>0</v>
      </c>
      <c r="C52" s="4">
        <f t="shared" si="48"/>
        <v>16</v>
      </c>
      <c r="D52" s="4">
        <f t="shared" si="49"/>
        <v>0</v>
      </c>
      <c r="E52" s="4">
        <f>ABS(A52-B52)</f>
        <v>4</v>
      </c>
    </row>
    <row r="53" spans="1:5" x14ac:dyDescent="0.25">
      <c r="A53" s="4">
        <v>3</v>
      </c>
      <c r="B53" s="4">
        <v>0</v>
      </c>
      <c r="C53" s="4">
        <f t="shared" si="48"/>
        <v>9</v>
      </c>
      <c r="D53" s="4">
        <f t="shared" si="49"/>
        <v>0</v>
      </c>
      <c r="E53" s="4">
        <f>ABS(A53-B53)</f>
        <v>3</v>
      </c>
    </row>
    <row r="54" spans="1:5" x14ac:dyDescent="0.25">
      <c r="A54" s="4">
        <v>7</v>
      </c>
      <c r="B54" s="4">
        <v>3</v>
      </c>
      <c r="C54" s="4">
        <f t="shared" si="48"/>
        <v>16</v>
      </c>
      <c r="D54" s="4">
        <f t="shared" si="49"/>
        <v>21</v>
      </c>
      <c r="E54" s="4">
        <f>ABS(A54-B54)</f>
        <v>4</v>
      </c>
    </row>
    <row r="56" spans="1:5" x14ac:dyDescent="0.25">
      <c r="C56" s="4" t="s">
        <v>47</v>
      </c>
      <c r="D56" s="4" t="s">
        <v>48</v>
      </c>
    </row>
    <row r="57" spans="1:5" x14ac:dyDescent="0.25">
      <c r="A57" s="4" t="s">
        <v>43</v>
      </c>
      <c r="B57" s="4" t="s">
        <v>44</v>
      </c>
      <c r="C57" s="4" t="s">
        <v>45</v>
      </c>
      <c r="D57" s="4" t="s">
        <v>46</v>
      </c>
    </row>
    <row r="58" spans="1:5" x14ac:dyDescent="0.25">
      <c r="A58" s="4">
        <f>A45^2</f>
        <v>81</v>
      </c>
      <c r="B58" s="4">
        <f>B45^2</f>
        <v>25</v>
      </c>
      <c r="C58" s="4">
        <f>SQRT(SUM(A58:A67))</f>
        <v>22.113344387495982</v>
      </c>
      <c r="D58" s="4">
        <f>SQRT(SUM(B58:B67))</f>
        <v>13.856406460551018</v>
      </c>
    </row>
    <row r="59" spans="1:5" x14ac:dyDescent="0.25">
      <c r="A59" s="4">
        <f>A46^2</f>
        <v>64</v>
      </c>
      <c r="B59" s="4">
        <f>B46^2</f>
        <v>64</v>
      </c>
    </row>
    <row r="60" spans="1:5" x14ac:dyDescent="0.25">
      <c r="A60" s="4">
        <f>A47^2</f>
        <v>9</v>
      </c>
      <c r="B60" s="4">
        <f>B47^2</f>
        <v>4</v>
      </c>
    </row>
    <row r="61" spans="1:5" x14ac:dyDescent="0.25">
      <c r="A61" s="4">
        <f>A48^2</f>
        <v>100</v>
      </c>
      <c r="B61" s="4">
        <f>B48^2</f>
        <v>1</v>
      </c>
    </row>
    <row r="62" spans="1:5" x14ac:dyDescent="0.25">
      <c r="A62" s="4">
        <f>A49^2</f>
        <v>100</v>
      </c>
      <c r="B62" s="4">
        <f>B49^2</f>
        <v>36</v>
      </c>
    </row>
    <row r="63" spans="1:5" x14ac:dyDescent="0.25">
      <c r="A63" s="4">
        <f>A50^2</f>
        <v>25</v>
      </c>
      <c r="B63" s="4">
        <f>B50^2</f>
        <v>4</v>
      </c>
    </row>
    <row r="64" spans="1:5" x14ac:dyDescent="0.25">
      <c r="A64" s="4">
        <f>A51^2</f>
        <v>36</v>
      </c>
      <c r="B64" s="4">
        <f>B51^2</f>
        <v>49</v>
      </c>
    </row>
    <row r="65" spans="1:2" x14ac:dyDescent="0.25">
      <c r="A65" s="4">
        <f>A52^2</f>
        <v>16</v>
      </c>
      <c r="B65" s="4">
        <f>B52^2</f>
        <v>0</v>
      </c>
    </row>
    <row r="66" spans="1:2" x14ac:dyDescent="0.25">
      <c r="A66" s="4">
        <f>A53^2</f>
        <v>9</v>
      </c>
      <c r="B66" s="4">
        <f>B53^2</f>
        <v>0</v>
      </c>
    </row>
    <row r="67" spans="1:2" x14ac:dyDescent="0.25">
      <c r="A67" s="4">
        <f>A54^2</f>
        <v>49</v>
      </c>
      <c r="B67" s="4">
        <f>B54^2</f>
        <v>9</v>
      </c>
    </row>
  </sheetData>
  <mergeCells count="30">
    <mergeCell ref="J44:K44"/>
    <mergeCell ref="J45:K45"/>
    <mergeCell ref="M44:O44"/>
    <mergeCell ref="M45:O45"/>
    <mergeCell ref="F25:K25"/>
    <mergeCell ref="M25:R25"/>
    <mergeCell ref="T25:Y25"/>
    <mergeCell ref="A37:D37"/>
    <mergeCell ref="G37:I37"/>
    <mergeCell ref="A36:D36"/>
    <mergeCell ref="F19:K19"/>
    <mergeCell ref="F1:K1"/>
    <mergeCell ref="M1:R1"/>
    <mergeCell ref="T1:Y1"/>
    <mergeCell ref="M19:R19"/>
    <mergeCell ref="T19:Y19"/>
    <mergeCell ref="K15:L15"/>
    <mergeCell ref="K16:L16"/>
    <mergeCell ref="K17:L17"/>
    <mergeCell ref="G13:L13"/>
    <mergeCell ref="A13:D13"/>
    <mergeCell ref="I14:J14"/>
    <mergeCell ref="K14:L14"/>
    <mergeCell ref="I15:J15"/>
    <mergeCell ref="I16:J16"/>
    <mergeCell ref="I17:J17"/>
    <mergeCell ref="G14:H14"/>
    <mergeCell ref="G15:H15"/>
    <mergeCell ref="G16:H16"/>
    <mergeCell ref="G17:H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Shaffer, Dylan Ray</dc:creator>
  <cp:lastModifiedBy>Shaffer, Dylan Ray</cp:lastModifiedBy>
  <dcterms:created xsi:type="dcterms:W3CDTF">2026-02-15T18:28:49Z</dcterms:created>
  <dcterms:modified xsi:type="dcterms:W3CDTF">2026-02-16T01:57:05Z</dcterms:modified>
</cp:coreProperties>
</file>